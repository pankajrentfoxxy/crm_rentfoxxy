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redit Notes Applied" sheetId="2" state="visible" r:id="rId2"/>
    <sheet xmlns:r="http://schemas.openxmlformats.org/officeDocument/2006/relationships" name="Invoice Lines" sheetId="3" state="visible" r:id="rId3"/>
  </sheets>
  <definedNames/>
  <calcPr calcId="124519" fullCalcOnLoad="1"/>
</workbook>
</file>

<file path=xl/styles.xml><?xml version="1.0" encoding="utf-8"?>
<styleSheet xmlns="http://schemas.openxmlformats.org/spreadsheetml/2006/main">
  <numFmts count="1">
    <numFmt numFmtId="164" formatCode="#,##0.00;(#,##0.00);-"/>
  </numFmts>
  <fonts count="7">
    <font>
      <name val="Calibri"/>
      <family val="2"/>
      <color theme="1"/>
      <sz val="11"/>
      <scheme val="minor"/>
    </font>
    <font>
      <name val="Arial"/>
      <b val="1"/>
      <color rgb="001F3864"/>
      <sz val="14"/>
    </font>
    <font>
      <name val="Arial"/>
      <i val="1"/>
      <sz val="10"/>
    </font>
    <font>
      <name val="Arial"/>
      <b val="1"/>
      <color rgb="00FFFFFF"/>
      <sz val="10"/>
    </font>
    <font>
      <name val="Arial"/>
      <sz val="10"/>
    </font>
    <font>
      <name val="Arial"/>
      <b val="1"/>
      <color rgb="00C00000"/>
      <sz val="10"/>
    </font>
    <font>
      <name val="Arial"/>
      <b val="1"/>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horizontal="center" vertical="center" wrapText="1"/>
    </xf>
    <xf numFmtId="0" fontId="4" fillId="0" borderId="1" pivotButton="0" quotePrefix="0" xfId="0"/>
    <xf numFmtId="164" fontId="4" fillId="0" borderId="1" pivotButton="0" quotePrefix="0" xfId="0"/>
    <xf numFmtId="164" fontId="5" fillId="3" borderId="1" pivotButton="0" quotePrefix="0" xfId="0"/>
    <xf numFmtId="0" fontId="6" fillId="0" borderId="1" pivotButton="0" quotePrefix="0" xfId="0"/>
    <xf numFmtId="164" fontId="6" fillId="0" borderId="1" pivotButton="0" quotePrefix="0" xfId="0"/>
    <xf numFmtId="0" fontId="6"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6" customWidth="1" min="1" max="1"/>
    <col width="44" customWidth="1" min="2" max="2"/>
    <col width="20" customWidth="1" min="3" max="3"/>
    <col width="12" customWidth="1" min="4" max="4"/>
    <col width="22" customWidth="1" min="5" max="5"/>
    <col width="16" customWidth="1" min="6" max="6"/>
    <col width="18" customWidth="1" min="7" max="7"/>
    <col width="20" customWidth="1" min="8" max="8"/>
  </cols>
  <sheetData>
    <row r="1">
      <c r="A1" s="1" t="inlineStr">
        <is>
          <t>P1-19 — Credit destroyed by clamping</t>
        </is>
      </c>
    </row>
    <row r="2" ht="42" customHeight="1">
      <c r="A2" s="2" t="inlineStr">
        <is>
          <t>When applied credit exceeds the invoice value, invoiceMoneyTotals wraps the total in Math.max(0, ...) and the excess is discarded. The credit notes are still marked "applied", so nothing records that the customer is still owed the remainder.</t>
        </is>
      </c>
    </row>
    <row r="4" ht="30" customHeight="1">
      <c r="A4" s="3" t="inlineStr">
        <is>
          <t>Invoice</t>
        </is>
      </c>
      <c r="B4" s="3" t="inlineStr">
        <is>
          <t>Customer</t>
        </is>
      </c>
      <c r="C4" s="3" t="inlineStr">
        <is>
          <t>GSTIN</t>
        </is>
      </c>
      <c r="D4" s="3" t="inlineStr">
        <is>
          <t>Period</t>
        </is>
      </c>
      <c r="E4" s="3" t="inlineStr">
        <is>
          <t>Invoice value
(subtotal+GST+security)</t>
        </is>
      </c>
      <c r="F4" s="3" t="inlineStr">
        <is>
          <t>Credit applied</t>
        </is>
      </c>
      <c r="G4" s="3" t="inlineStr">
        <is>
          <t>Stored grand total</t>
        </is>
      </c>
      <c r="H4" s="3" t="inlineStr">
        <is>
          <t>CREDIT DESTROYED</t>
        </is>
      </c>
    </row>
    <row r="5">
      <c r="A5" s="4" t="inlineStr">
        <is>
          <t>INV-1121</t>
        </is>
      </c>
      <c r="B5" s="4" t="inlineStr">
        <is>
          <t>PINNACLEWORKS INFOTECH PRIVATE LIMITED</t>
        </is>
      </c>
      <c r="C5" s="4" t="inlineStr">
        <is>
          <t>06AAGCP9432J1Z4</t>
        </is>
      </c>
      <c r="D5" s="4" t="inlineStr">
        <is>
          <t>9/2026</t>
        </is>
      </c>
      <c r="E5" s="5" t="n">
        <v>2124</v>
      </c>
      <c r="F5" s="5" t="n">
        <v>11403.94</v>
      </c>
      <c r="G5" s="5" t="n">
        <v>0</v>
      </c>
      <c r="H5" s="6">
        <f>F5-E5</f>
        <v/>
      </c>
    </row>
    <row r="6">
      <c r="A6" s="4" t="inlineStr">
        <is>
          <t>INV-1187</t>
        </is>
      </c>
      <c r="B6" s="4" t="inlineStr">
        <is>
          <t>CARRUM MOBILITY SOLUTIONS PRIVATE LIMITED(HR)</t>
        </is>
      </c>
      <c r="C6" s="4" t="inlineStr">
        <is>
          <t>06AALCC8489R2ZG</t>
        </is>
      </c>
      <c r="D6" s="4" t="inlineStr">
        <is>
          <t>9/2026</t>
        </is>
      </c>
      <c r="E6" s="5" t="n">
        <v>1770</v>
      </c>
      <c r="F6" s="5" t="n">
        <v>12774.18</v>
      </c>
      <c r="G6" s="5" t="n">
        <v>0</v>
      </c>
      <c r="H6" s="6">
        <f>F6-E6</f>
        <v/>
      </c>
    </row>
    <row r="7">
      <c r="D7" s="7" t="inlineStr">
        <is>
          <t>TOTAL</t>
        </is>
      </c>
      <c r="E7" s="8">
        <f>SUM(E5:E6)</f>
        <v/>
      </c>
      <c r="F7" s="8">
        <f>SUM(F5:F6)</f>
        <v/>
      </c>
      <c r="G7" s="8">
        <f>SUM(G5:G6)</f>
        <v/>
      </c>
      <c r="H7" s="6">
        <f>SUM(H5:H6)</f>
        <v/>
      </c>
    </row>
    <row r="9">
      <c r="A9" s="9" t="inlineStr">
        <is>
          <t>Options (business decision)</t>
        </is>
      </c>
    </row>
    <row r="10">
      <c r="A10" s="10" t="inlineStr">
        <is>
          <t>1. Carry forward — apply what fits, keep the remainder as a running balance against the next invoice.</t>
        </is>
      </c>
    </row>
    <row r="11">
      <c r="A11" s="10" t="inlineStr">
        <is>
          <t>2. Refund the excess — pay it back; cleanest for the customer, moves real cash.</t>
        </is>
      </c>
    </row>
    <row r="12">
      <c r="A12" s="10" t="inlineStr">
        <is>
          <t>3. Cap and flag — apply what fits, leave the note partly consumed, alert accounts to handle manually.</t>
        </is>
      </c>
    </row>
    <row r="13">
      <c r="A13" s="10" t="inlineStr">
        <is>
          <t>In all three cases, stop marking an oversized note fully "applied" — that is what hides the loss today.</t>
        </is>
      </c>
    </row>
  </sheetData>
  <mergeCells count="1">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
  <sheetViews>
    <sheetView workbookViewId="0">
      <pane ySplit="3" topLeftCell="A4" activePane="bottomLeft" state="frozen"/>
      <selection pane="bottomLeft" activeCell="A1" sqref="A1"/>
    </sheetView>
  </sheetViews>
  <sheetFormatPr baseColWidth="8" defaultRowHeight="15"/>
  <cols>
    <col width="13" customWidth="1" min="1" max="1"/>
    <col width="8" customWidth="1" min="2" max="2"/>
    <col width="13" customWidth="1" min="3" max="3"/>
    <col width="10" customWidth="1" min="4" max="4"/>
    <col width="10" customWidth="1" min="5" max="5"/>
    <col width="12" customWidth="1" min="6" max="6"/>
    <col width="13" customWidth="1" min="7" max="7"/>
    <col width="13" customWidth="1" min="8" max="8"/>
    <col width="7" customWidth="1" min="9" max="9"/>
    <col width="13" customWidth="1" min="10" max="10"/>
    <col width="30" customWidth="1" min="11" max="11"/>
    <col width="40" customWidth="1" min="12" max="12"/>
  </cols>
  <sheetData>
    <row r="1">
      <c r="A1" s="1" t="inlineStr">
        <is>
          <t>Every credit note applied to these two invoices</t>
        </is>
      </c>
    </row>
    <row r="3" ht="30" customHeight="1">
      <c r="A3" s="3" t="inlineStr">
        <is>
          <t>Invoice</t>
        </is>
      </c>
      <c r="B3" s="3" t="inlineStr">
        <is>
          <t>CN ID</t>
        </is>
      </c>
      <c r="C3" s="3" t="inlineStr">
        <is>
          <t>CN Number</t>
        </is>
      </c>
      <c r="D3" s="3" t="inlineStr">
        <is>
          <t>Type</t>
        </is>
      </c>
      <c r="E3" s="3" t="inlineStr">
        <is>
          <t>Status</t>
        </is>
      </c>
      <c r="F3" s="3" t="inlineStr">
        <is>
          <t>Created</t>
        </is>
      </c>
      <c r="G3" s="3" t="inlineStr">
        <is>
          <t>Period from</t>
        </is>
      </c>
      <c r="H3" s="3" t="inlineStr">
        <is>
          <t>Period to</t>
        </is>
      </c>
      <c r="I3" s="3" t="inlineStr">
        <is>
          <t>Days</t>
        </is>
      </c>
      <c r="J3" s="3" t="inlineStr">
        <is>
          <t>Amount</t>
        </is>
      </c>
      <c r="K3" s="3" t="inlineStr">
        <is>
          <t>TTSPL</t>
        </is>
      </c>
      <c r="L3" s="3" t="inlineStr">
        <is>
          <t>Reason</t>
        </is>
      </c>
    </row>
    <row r="4">
      <c r="A4" s="4" t="inlineStr">
        <is>
          <t>INV-1121</t>
        </is>
      </c>
      <c r="B4" s="4" t="n">
        <v>96</v>
      </c>
      <c r="C4" s="4" t="inlineStr">
        <is>
          <t>CN-0103</t>
        </is>
      </c>
      <c r="D4" s="4" t="inlineStr">
        <is>
          <t>return</t>
        </is>
      </c>
      <c r="E4" s="4" t="inlineStr">
        <is>
          <t>applied</t>
        </is>
      </c>
      <c r="F4" s="4" t="inlineStr">
        <is>
          <t>2026-09-02</t>
        </is>
      </c>
      <c r="G4" s="4" t="inlineStr">
        <is>
          <t>2026-08-06</t>
        </is>
      </c>
      <c r="H4" s="4" t="inlineStr">
        <is>
          <t>2026-08-31</t>
        </is>
      </c>
      <c r="I4" s="4" t="n">
        <v>26</v>
      </c>
      <c r="J4" s="5" t="n">
        <v>1509.68</v>
      </c>
      <c r="K4" s="4" t="inlineStr">
        <is>
          <t>TTSPL3106</t>
        </is>
      </c>
      <c r="L4" s="4" t="inlineStr">
        <is>
          <t>Rental return — unused prepaid days</t>
        </is>
      </c>
    </row>
    <row r="5">
      <c r="A5" s="4" t="inlineStr">
        <is>
          <t>INV-1121</t>
        </is>
      </c>
      <c r="B5" s="4" t="n">
        <v>97</v>
      </c>
      <c r="C5" s="4" t="inlineStr">
        <is>
          <t>CN-0104</t>
        </is>
      </c>
      <c r="D5" s="4" t="inlineStr">
        <is>
          <t>return</t>
        </is>
      </c>
      <c r="E5" s="4" t="inlineStr">
        <is>
          <t>applied</t>
        </is>
      </c>
      <c r="F5" s="4" t="inlineStr">
        <is>
          <t>2026-09-02</t>
        </is>
      </c>
      <c r="G5" s="4" t="inlineStr">
        <is>
          <t>2026-08-06</t>
        </is>
      </c>
      <c r="H5" s="4" t="inlineStr">
        <is>
          <t>2026-08-31</t>
        </is>
      </c>
      <c r="I5" s="4" t="n">
        <v>26</v>
      </c>
      <c r="J5" s="5" t="n">
        <v>1844.32</v>
      </c>
      <c r="K5" s="4" t="inlineStr">
        <is>
          <t>TTSPL2716</t>
        </is>
      </c>
      <c r="L5" s="4" t="inlineStr">
        <is>
          <t>Rental return — unused prepaid days</t>
        </is>
      </c>
    </row>
    <row r="6">
      <c r="A6" s="4" t="inlineStr">
        <is>
          <t>INV-1121</t>
        </is>
      </c>
      <c r="B6" s="4" t="n">
        <v>98</v>
      </c>
      <c r="C6" s="4" t="inlineStr">
        <is>
          <t>CN-0105</t>
        </is>
      </c>
      <c r="D6" s="4" t="inlineStr">
        <is>
          <t>return</t>
        </is>
      </c>
      <c r="E6" s="4" t="inlineStr">
        <is>
          <t>applied</t>
        </is>
      </c>
      <c r="F6" s="4" t="inlineStr">
        <is>
          <t>2026-09-02</t>
        </is>
      </c>
      <c r="G6" s="4" t="inlineStr">
        <is>
          <t>2026-08-06</t>
        </is>
      </c>
      <c r="H6" s="4" t="inlineStr">
        <is>
          <t>2026-08-31</t>
        </is>
      </c>
      <c r="I6" s="4" t="n">
        <v>26</v>
      </c>
      <c r="J6" s="5" t="n">
        <v>1844.32</v>
      </c>
      <c r="K6" s="4" t="inlineStr">
        <is>
          <t>TTSPL2136</t>
        </is>
      </c>
      <c r="L6" s="4" t="inlineStr">
        <is>
          <t>Rental return — unused prepaid days</t>
        </is>
      </c>
    </row>
    <row r="7">
      <c r="A7" s="4" t="inlineStr">
        <is>
          <t>INV-1121</t>
        </is>
      </c>
      <c r="B7" s="4" t="n">
        <v>99</v>
      </c>
      <c r="C7" s="4" t="inlineStr">
        <is>
          <t>CN-0106</t>
        </is>
      </c>
      <c r="D7" s="4" t="inlineStr">
        <is>
          <t>return</t>
        </is>
      </c>
      <c r="E7" s="4" t="inlineStr">
        <is>
          <t>applied</t>
        </is>
      </c>
      <c r="F7" s="4" t="inlineStr">
        <is>
          <t>2026-09-02</t>
        </is>
      </c>
      <c r="G7" s="4" t="inlineStr">
        <is>
          <t>2026-08-06</t>
        </is>
      </c>
      <c r="H7" s="4" t="inlineStr">
        <is>
          <t>2026-08-31</t>
        </is>
      </c>
      <c r="I7" s="4" t="n">
        <v>26</v>
      </c>
      <c r="J7" s="5" t="n">
        <v>1509.68</v>
      </c>
      <c r="K7" s="4" t="inlineStr">
        <is>
          <t>TTSPL2213</t>
        </is>
      </c>
      <c r="L7" s="4" t="inlineStr">
        <is>
          <t>Rental return — unused prepaid days</t>
        </is>
      </c>
    </row>
    <row r="8">
      <c r="A8" s="4" t="inlineStr">
        <is>
          <t>INV-1121</t>
        </is>
      </c>
      <c r="B8" s="4" t="n">
        <v>184</v>
      </c>
      <c r="C8" s="4" t="inlineStr">
        <is>
          <t>CN-0191</t>
        </is>
      </c>
      <c r="D8" s="4" t="inlineStr">
        <is>
          <t>return</t>
        </is>
      </c>
      <c r="E8" s="4" t="inlineStr">
        <is>
          <t>applied</t>
        </is>
      </c>
      <c r="F8" s="4" t="inlineStr">
        <is>
          <t>2026-09-02</t>
        </is>
      </c>
      <c r="G8" s="4" t="inlineStr">
        <is>
          <t>2026-08-06</t>
        </is>
      </c>
      <c r="H8" s="4" t="inlineStr">
        <is>
          <t>2026-08-31</t>
        </is>
      </c>
      <c r="I8" s="4" t="n">
        <v>26</v>
      </c>
      <c r="J8" s="5" t="n">
        <v>1509.68</v>
      </c>
      <c r="K8" s="4" t="inlineStr">
        <is>
          <t>TTSPL2110</t>
        </is>
      </c>
      <c r="L8" s="4" t="inlineStr">
        <is>
          <t>Rental return — unused prepaid days</t>
        </is>
      </c>
    </row>
    <row r="9">
      <c r="A9" s="4" t="inlineStr">
        <is>
          <t>INV-1121</t>
        </is>
      </c>
      <c r="B9" s="4" t="n">
        <v>185</v>
      </c>
      <c r="C9" s="4" t="inlineStr">
        <is>
          <t>CN-0192</t>
        </is>
      </c>
      <c r="D9" s="4" t="inlineStr">
        <is>
          <t>return</t>
        </is>
      </c>
      <c r="E9" s="4" t="inlineStr">
        <is>
          <t>applied</t>
        </is>
      </c>
      <c r="F9" s="4" t="inlineStr">
        <is>
          <t>2026-09-02</t>
        </is>
      </c>
      <c r="G9" s="4" t="inlineStr">
        <is>
          <t>2026-08-06</t>
        </is>
      </c>
      <c r="H9" s="4" t="inlineStr">
        <is>
          <t>2026-08-31</t>
        </is>
      </c>
      <c r="I9" s="4" t="n">
        <v>26</v>
      </c>
      <c r="J9" s="5" t="n">
        <v>1676.58</v>
      </c>
      <c r="K9" s="4" t="inlineStr">
        <is>
          <t>TTSPL5278</t>
        </is>
      </c>
      <c r="L9" s="4" t="inlineStr">
        <is>
          <t>Rental return — unused prepaid days</t>
        </is>
      </c>
    </row>
    <row r="10">
      <c r="A10" s="4" t="inlineStr">
        <is>
          <t>INV-1121</t>
        </is>
      </c>
      <c r="B10" s="4" t="n">
        <v>186</v>
      </c>
      <c r="C10" s="4" t="inlineStr">
        <is>
          <t>CN-0193</t>
        </is>
      </c>
      <c r="D10" s="4" t="inlineStr">
        <is>
          <t>return</t>
        </is>
      </c>
      <c r="E10" s="4" t="inlineStr">
        <is>
          <t>applied</t>
        </is>
      </c>
      <c r="F10" s="4" t="inlineStr">
        <is>
          <t>2026-09-02</t>
        </is>
      </c>
      <c r="G10" s="4" t="inlineStr">
        <is>
          <t>2026-08-06</t>
        </is>
      </c>
      <c r="H10" s="4" t="inlineStr">
        <is>
          <t>2026-08-31</t>
        </is>
      </c>
      <c r="I10" s="4" t="n">
        <v>26</v>
      </c>
      <c r="J10" s="5" t="n">
        <v>1509.68</v>
      </c>
      <c r="K10" s="4" t="inlineStr">
        <is>
          <t>TTSPL2949</t>
        </is>
      </c>
      <c r="L10" s="4" t="inlineStr">
        <is>
          <t>Rental return — unused prepaid days</t>
        </is>
      </c>
    </row>
    <row r="11">
      <c r="A11" s="4" t="inlineStr">
        <is>
          <t>INV-1187</t>
        </is>
      </c>
      <c r="B11" s="4" t="n">
        <v>220</v>
      </c>
      <c r="C11" s="4" t="inlineStr">
        <is>
          <t>CN-0227</t>
        </is>
      </c>
      <c r="D11" s="4" t="inlineStr">
        <is>
          <t>return</t>
        </is>
      </c>
      <c r="E11" s="4" t="inlineStr">
        <is>
          <t>applied</t>
        </is>
      </c>
      <c r="F11" s="4" t="inlineStr">
        <is>
          <t>2026-09-02</t>
        </is>
      </c>
      <c r="G11" s="4" t="inlineStr">
        <is>
          <t>2026-08-12</t>
        </is>
      </c>
      <c r="H11" s="4" t="inlineStr">
        <is>
          <t>2026-08-31</t>
        </is>
      </c>
      <c r="I11" s="4" t="n">
        <v>20</v>
      </c>
      <c r="J11" s="5" t="n">
        <v>967.74</v>
      </c>
      <c r="K11" s="4" t="inlineStr">
        <is>
          <t>TTSPL6457</t>
        </is>
      </c>
      <c r="L11" s="4" t="inlineStr">
        <is>
          <t>Rental return — unused prepaid days</t>
        </is>
      </c>
    </row>
    <row r="12">
      <c r="A12" s="4" t="inlineStr">
        <is>
          <t>INV-1187</t>
        </is>
      </c>
      <c r="B12" s="4" t="n">
        <v>221</v>
      </c>
      <c r="C12" s="4" t="inlineStr">
        <is>
          <t>CN-0228</t>
        </is>
      </c>
      <c r="D12" s="4" t="inlineStr">
        <is>
          <t>return</t>
        </is>
      </c>
      <c r="E12" s="4" t="inlineStr">
        <is>
          <t>applied</t>
        </is>
      </c>
      <c r="F12" s="4" t="inlineStr">
        <is>
          <t>2026-09-02</t>
        </is>
      </c>
      <c r="G12" s="4" t="inlineStr">
        <is>
          <t>2026-08-12</t>
        </is>
      </c>
      <c r="H12" s="4" t="inlineStr">
        <is>
          <t>2026-08-31</t>
        </is>
      </c>
      <c r="I12" s="4" t="n">
        <v>20</v>
      </c>
      <c r="J12" s="5" t="n">
        <v>967.74</v>
      </c>
      <c r="K12" s="4" t="inlineStr">
        <is>
          <t>TTSPL6067</t>
        </is>
      </c>
      <c r="L12" s="4" t="inlineStr">
        <is>
          <t>Rental return — unused prepaid days</t>
        </is>
      </c>
    </row>
    <row r="13">
      <c r="A13" s="4" t="inlineStr">
        <is>
          <t>INV-1187</t>
        </is>
      </c>
      <c r="B13" s="4" t="n">
        <v>222</v>
      </c>
      <c r="C13" s="4" t="inlineStr">
        <is>
          <t>CN-0229</t>
        </is>
      </c>
      <c r="D13" s="4" t="inlineStr">
        <is>
          <t>return</t>
        </is>
      </c>
      <c r="E13" s="4" t="inlineStr">
        <is>
          <t>applied</t>
        </is>
      </c>
      <c r="F13" s="4" t="inlineStr">
        <is>
          <t>2026-09-02</t>
        </is>
      </c>
      <c r="G13" s="4" t="inlineStr">
        <is>
          <t>2026-08-12</t>
        </is>
      </c>
      <c r="H13" s="4" t="inlineStr">
        <is>
          <t>2026-08-31</t>
        </is>
      </c>
      <c r="I13" s="4" t="n">
        <v>20</v>
      </c>
      <c r="J13" s="5" t="n">
        <v>967.74</v>
      </c>
      <c r="K13" s="4" t="inlineStr">
        <is>
          <t>TTSPL6782</t>
        </is>
      </c>
      <c r="L13" s="4" t="inlineStr">
        <is>
          <t>Rental return — unused prepaid days</t>
        </is>
      </c>
    </row>
    <row r="14">
      <c r="A14" s="4" t="inlineStr">
        <is>
          <t>INV-1187</t>
        </is>
      </c>
      <c r="B14" s="4" t="n">
        <v>223</v>
      </c>
      <c r="C14" s="4" t="inlineStr">
        <is>
          <t>CN-0230</t>
        </is>
      </c>
      <c r="D14" s="4" t="inlineStr">
        <is>
          <t>return</t>
        </is>
      </c>
      <c r="E14" s="4" t="inlineStr">
        <is>
          <t>applied</t>
        </is>
      </c>
      <c r="F14" s="4" t="inlineStr">
        <is>
          <t>2026-09-02</t>
        </is>
      </c>
      <c r="G14" s="4" t="inlineStr">
        <is>
          <t>2026-08-12</t>
        </is>
      </c>
      <c r="H14" s="4" t="inlineStr">
        <is>
          <t>2026-08-31</t>
        </is>
      </c>
      <c r="I14" s="4" t="n">
        <v>20</v>
      </c>
      <c r="J14" s="5" t="n">
        <v>967.74</v>
      </c>
      <c r="K14" s="4" t="inlineStr">
        <is>
          <t>TTSPL6345</t>
        </is>
      </c>
      <c r="L14" s="4" t="inlineStr">
        <is>
          <t>Rental return — unused prepaid days</t>
        </is>
      </c>
    </row>
    <row r="15">
      <c r="A15" s="4" t="inlineStr">
        <is>
          <t>INV-1187</t>
        </is>
      </c>
      <c r="B15" s="4" t="n">
        <v>224</v>
      </c>
      <c r="C15" s="4" t="inlineStr">
        <is>
          <t>CN-0231</t>
        </is>
      </c>
      <c r="D15" s="4" t="inlineStr">
        <is>
          <t>return</t>
        </is>
      </c>
      <c r="E15" s="4" t="inlineStr">
        <is>
          <t>applied</t>
        </is>
      </c>
      <c r="F15" s="4" t="inlineStr">
        <is>
          <t>2026-09-02</t>
        </is>
      </c>
      <c r="G15" s="4" t="inlineStr">
        <is>
          <t>2026-08-20</t>
        </is>
      </c>
      <c r="H15" s="4" t="inlineStr">
        <is>
          <t>2026-08-31</t>
        </is>
      </c>
      <c r="I15" s="4" t="n">
        <v>12</v>
      </c>
      <c r="J15" s="5" t="n">
        <v>580.65</v>
      </c>
      <c r="K15" s="4" t="inlineStr">
        <is>
          <t>TTSPL6543</t>
        </is>
      </c>
      <c r="L15" s="4" t="inlineStr">
        <is>
          <t>Rental return — unused prepaid days</t>
        </is>
      </c>
    </row>
    <row r="16">
      <c r="A16" s="4" t="inlineStr">
        <is>
          <t>INV-1187</t>
        </is>
      </c>
      <c r="B16" s="4" t="n">
        <v>225</v>
      </c>
      <c r="C16" s="4" t="inlineStr">
        <is>
          <t>CN-0232</t>
        </is>
      </c>
      <c r="D16" s="4" t="inlineStr">
        <is>
          <t>return</t>
        </is>
      </c>
      <c r="E16" s="4" t="inlineStr">
        <is>
          <t>applied</t>
        </is>
      </c>
      <c r="F16" s="4" t="inlineStr">
        <is>
          <t>2026-09-02</t>
        </is>
      </c>
      <c r="G16" s="4" t="inlineStr">
        <is>
          <t>2026-08-12</t>
        </is>
      </c>
      <c r="H16" s="4" t="inlineStr">
        <is>
          <t>2026-08-31</t>
        </is>
      </c>
      <c r="I16" s="4" t="n">
        <v>20</v>
      </c>
      <c r="J16" s="5" t="n">
        <v>967.74</v>
      </c>
      <c r="K16" s="4" t="inlineStr">
        <is>
          <t>TTSPL6165</t>
        </is>
      </c>
      <c r="L16" s="4" t="inlineStr">
        <is>
          <t>Rental return — unused prepaid days</t>
        </is>
      </c>
    </row>
    <row r="17">
      <c r="A17" s="4" t="inlineStr">
        <is>
          <t>INV-1187</t>
        </is>
      </c>
      <c r="B17" s="4" t="n">
        <v>226</v>
      </c>
      <c r="C17" s="4" t="inlineStr">
        <is>
          <t>CN-0233</t>
        </is>
      </c>
      <c r="D17" s="4" t="inlineStr">
        <is>
          <t>return</t>
        </is>
      </c>
      <c r="E17" s="4" t="inlineStr">
        <is>
          <t>applied</t>
        </is>
      </c>
      <c r="F17" s="4" t="inlineStr">
        <is>
          <t>2026-09-02</t>
        </is>
      </c>
      <c r="G17" s="4" t="inlineStr">
        <is>
          <t>2026-08-12</t>
        </is>
      </c>
      <c r="H17" s="4" t="inlineStr">
        <is>
          <t>2026-08-31</t>
        </is>
      </c>
      <c r="I17" s="4" t="n">
        <v>20</v>
      </c>
      <c r="J17" s="5" t="n">
        <v>967.74</v>
      </c>
      <c r="K17" s="4" t="inlineStr">
        <is>
          <t>TTSPL6911</t>
        </is>
      </c>
      <c r="L17" s="4" t="inlineStr">
        <is>
          <t>Rental return — unused prepaid days</t>
        </is>
      </c>
    </row>
    <row r="18">
      <c r="A18" s="4" t="inlineStr">
        <is>
          <t>INV-1187</t>
        </is>
      </c>
      <c r="B18" s="4" t="n">
        <v>227</v>
      </c>
      <c r="C18" s="4" t="inlineStr">
        <is>
          <t>CN-0234</t>
        </is>
      </c>
      <c r="D18" s="4" t="inlineStr">
        <is>
          <t>return</t>
        </is>
      </c>
      <c r="E18" s="4" t="inlineStr">
        <is>
          <t>applied</t>
        </is>
      </c>
      <c r="F18" s="4" t="inlineStr">
        <is>
          <t>2026-09-02</t>
        </is>
      </c>
      <c r="G18" s="4" t="inlineStr">
        <is>
          <t>2026-08-20</t>
        </is>
      </c>
      <c r="H18" s="4" t="inlineStr">
        <is>
          <t>2026-08-31</t>
        </is>
      </c>
      <c r="I18" s="4" t="n">
        <v>12</v>
      </c>
      <c r="J18" s="5" t="n">
        <v>580.65</v>
      </c>
      <c r="K18" s="4" t="inlineStr">
        <is>
          <t>TTSPL6146</t>
        </is>
      </c>
      <c r="L18" s="4" t="inlineStr">
        <is>
          <t>Rental return — unused prepaid days</t>
        </is>
      </c>
    </row>
    <row r="19">
      <c r="A19" s="4" t="inlineStr">
        <is>
          <t>INV-1187</t>
        </is>
      </c>
      <c r="B19" s="4" t="n">
        <v>228</v>
      </c>
      <c r="C19" s="4" t="inlineStr">
        <is>
          <t>CN-0235</t>
        </is>
      </c>
      <c r="D19" s="4" t="inlineStr">
        <is>
          <t>return</t>
        </is>
      </c>
      <c r="E19" s="4" t="inlineStr">
        <is>
          <t>applied</t>
        </is>
      </c>
      <c r="F19" s="4" t="inlineStr">
        <is>
          <t>2026-09-02</t>
        </is>
      </c>
      <c r="G19" s="4" t="inlineStr">
        <is>
          <t>2026-08-12</t>
        </is>
      </c>
      <c r="H19" s="4" t="inlineStr">
        <is>
          <t>2026-08-31</t>
        </is>
      </c>
      <c r="I19" s="4" t="n">
        <v>20</v>
      </c>
      <c r="J19" s="5" t="n">
        <v>967.74</v>
      </c>
      <c r="K19" s="4" t="inlineStr">
        <is>
          <t>TTSPL6242</t>
        </is>
      </c>
      <c r="L19" s="4" t="inlineStr">
        <is>
          <t>Rental return — unused prepaid days</t>
        </is>
      </c>
    </row>
    <row r="20">
      <c r="A20" s="4" t="inlineStr">
        <is>
          <t>INV-1187</t>
        </is>
      </c>
      <c r="B20" s="4" t="n">
        <v>229</v>
      </c>
      <c r="C20" s="4" t="inlineStr">
        <is>
          <t>CN-0236</t>
        </is>
      </c>
      <c r="D20" s="4" t="inlineStr">
        <is>
          <t>return</t>
        </is>
      </c>
      <c r="E20" s="4" t="inlineStr">
        <is>
          <t>applied</t>
        </is>
      </c>
      <c r="F20" s="4" t="inlineStr">
        <is>
          <t>2026-09-02</t>
        </is>
      </c>
      <c r="G20" s="4" t="inlineStr">
        <is>
          <t>2026-08-12</t>
        </is>
      </c>
      <c r="H20" s="4" t="inlineStr">
        <is>
          <t>2026-08-31</t>
        </is>
      </c>
      <c r="I20" s="4" t="n">
        <v>20</v>
      </c>
      <c r="J20" s="5" t="n">
        <v>967.74</v>
      </c>
      <c r="K20" s="4" t="inlineStr">
        <is>
          <t>TTSPL6233</t>
        </is>
      </c>
      <c r="L20" s="4" t="inlineStr">
        <is>
          <t>Rental return — unused prepaid days</t>
        </is>
      </c>
    </row>
    <row r="21">
      <c r="A21" s="4" t="inlineStr">
        <is>
          <t>INV-1187</t>
        </is>
      </c>
      <c r="B21" s="4" t="n">
        <v>230</v>
      </c>
      <c r="C21" s="4" t="inlineStr">
        <is>
          <t>CN-0237</t>
        </is>
      </c>
      <c r="D21" s="4" t="inlineStr">
        <is>
          <t>return</t>
        </is>
      </c>
      <c r="E21" s="4" t="inlineStr">
        <is>
          <t>applied</t>
        </is>
      </c>
      <c r="F21" s="4" t="inlineStr">
        <is>
          <t>2026-09-02</t>
        </is>
      </c>
      <c r="G21" s="4" t="inlineStr">
        <is>
          <t>2026-08-12</t>
        </is>
      </c>
      <c r="H21" s="4" t="inlineStr">
        <is>
          <t>2026-08-31</t>
        </is>
      </c>
      <c r="I21" s="4" t="n">
        <v>20</v>
      </c>
      <c r="J21" s="5" t="n">
        <v>967.74</v>
      </c>
      <c r="K21" s="4" t="inlineStr">
        <is>
          <t>TTSPL6486</t>
        </is>
      </c>
      <c r="L21" s="4" t="inlineStr">
        <is>
          <t>Rental return — unused prepaid days</t>
        </is>
      </c>
    </row>
    <row r="22">
      <c r="A22" s="4" t="inlineStr">
        <is>
          <t>INV-1187</t>
        </is>
      </c>
      <c r="B22" s="4" t="n">
        <v>231</v>
      </c>
      <c r="C22" s="4" t="inlineStr">
        <is>
          <t>CN-0238</t>
        </is>
      </c>
      <c r="D22" s="4" t="inlineStr">
        <is>
          <t>return</t>
        </is>
      </c>
      <c r="E22" s="4" t="inlineStr">
        <is>
          <t>applied</t>
        </is>
      </c>
      <c r="F22" s="4" t="inlineStr">
        <is>
          <t>2026-09-02</t>
        </is>
      </c>
      <c r="G22" s="4" t="inlineStr">
        <is>
          <t>2026-08-12</t>
        </is>
      </c>
      <c r="H22" s="4" t="inlineStr">
        <is>
          <t>2026-08-31</t>
        </is>
      </c>
      <c r="I22" s="4" t="n">
        <v>20</v>
      </c>
      <c r="J22" s="5" t="n">
        <v>967.74</v>
      </c>
      <c r="K22" s="4" t="inlineStr">
        <is>
          <t>TTSPL6493</t>
        </is>
      </c>
      <c r="L22" s="4" t="inlineStr">
        <is>
          <t>Rental return — unused prepaid days</t>
        </is>
      </c>
    </row>
    <row r="23">
      <c r="A23" s="4" t="inlineStr">
        <is>
          <t>INV-1187</t>
        </is>
      </c>
      <c r="B23" s="4" t="n">
        <v>232</v>
      </c>
      <c r="C23" s="4" t="inlineStr">
        <is>
          <t>CN-0239</t>
        </is>
      </c>
      <c r="D23" s="4" t="inlineStr">
        <is>
          <t>return</t>
        </is>
      </c>
      <c r="E23" s="4" t="inlineStr">
        <is>
          <t>applied</t>
        </is>
      </c>
      <c r="F23" s="4" t="inlineStr">
        <is>
          <t>2026-09-02</t>
        </is>
      </c>
      <c r="G23" s="4" t="inlineStr">
        <is>
          <t>2026-08-12</t>
        </is>
      </c>
      <c r="H23" s="4" t="inlineStr">
        <is>
          <t>2026-08-31</t>
        </is>
      </c>
      <c r="I23" s="4" t="n">
        <v>20</v>
      </c>
      <c r="J23" s="5" t="n">
        <v>967.74</v>
      </c>
      <c r="K23" s="4" t="inlineStr">
        <is>
          <t>TTSPL6501</t>
        </is>
      </c>
      <c r="L23" s="4" t="inlineStr">
        <is>
          <t>Rental return — unused prepaid days</t>
        </is>
      </c>
    </row>
    <row r="24">
      <c r="A24" s="4" t="inlineStr">
        <is>
          <t>INV-1187</t>
        </is>
      </c>
      <c r="B24" s="4" t="n">
        <v>233</v>
      </c>
      <c r="C24" s="4" t="inlineStr">
        <is>
          <t>CN-0240</t>
        </is>
      </c>
      <c r="D24" s="4" t="inlineStr">
        <is>
          <t>return</t>
        </is>
      </c>
      <c r="E24" s="4" t="inlineStr">
        <is>
          <t>applied</t>
        </is>
      </c>
      <c r="F24" s="4" t="inlineStr">
        <is>
          <t>2026-09-02</t>
        </is>
      </c>
      <c r="G24" s="4" t="inlineStr">
        <is>
          <t>2026-08-12</t>
        </is>
      </c>
      <c r="H24" s="4" t="inlineStr">
        <is>
          <t>2026-08-31</t>
        </is>
      </c>
      <c r="I24" s="4" t="n">
        <v>20</v>
      </c>
      <c r="J24" s="5" t="n">
        <v>967.74</v>
      </c>
      <c r="K24" s="4" t="inlineStr">
        <is>
          <t>TTSPL6446</t>
        </is>
      </c>
      <c r="L24" s="4" t="inlineStr">
        <is>
          <t>Rental return — unused prepaid days</t>
        </is>
      </c>
    </row>
    <row r="25">
      <c r="I25" s="7" t="inlineStr">
        <is>
          <t>TOTAL</t>
        </is>
      </c>
      <c r="J25" s="8">
        <f>SUM(J4:J24)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pane ySplit="3" topLeftCell="A4"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4" customWidth="1" min="6" max="6"/>
    <col width="12" customWidth="1" min="7" max="7"/>
    <col width="13" customWidth="1" min="8" max="8"/>
    <col width="11" customWidth="1" min="9" max="9"/>
  </cols>
  <sheetData>
    <row r="1">
      <c r="A1" s="1" t="inlineStr">
        <is>
          <t>What these invoices actually charged</t>
        </is>
      </c>
    </row>
    <row r="3" ht="30" customHeight="1">
      <c r="A3" s="3" t="inlineStr">
        <is>
          <t>Invoice</t>
        </is>
      </c>
      <c r="B3" s="3" t="inlineStr">
        <is>
          <t>TTSPL</t>
        </is>
      </c>
      <c r="C3" s="3" t="inlineStr">
        <is>
          <t>From</t>
        </is>
      </c>
      <c r="D3" s="3" t="inlineStr">
        <is>
          <t>To</t>
        </is>
      </c>
      <c r="E3" s="3" t="inlineStr">
        <is>
          <t>Days billed</t>
        </is>
      </c>
      <c r="F3" s="3" t="inlineStr">
        <is>
          <t>Monthly rate</t>
        </is>
      </c>
      <c r="G3" s="3" t="inlineStr">
        <is>
          <t>Daily rate</t>
        </is>
      </c>
      <c r="H3" s="3" t="inlineStr">
        <is>
          <t>Amount</t>
        </is>
      </c>
      <c r="I3" s="3" t="inlineStr">
        <is>
          <t>Line type</t>
        </is>
      </c>
    </row>
    <row r="4">
      <c r="A4" s="4" t="inlineStr">
        <is>
          <t>INV-1121</t>
        </is>
      </c>
      <c r="B4" s="4" t="inlineStr">
        <is>
          <t>TTSPL2884</t>
        </is>
      </c>
      <c r="C4" s="4" t="inlineStr">
        <is>
          <t>2026-09-01</t>
        </is>
      </c>
      <c r="D4" s="4" t="inlineStr">
        <is>
          <t>2026-09-30</t>
        </is>
      </c>
      <c r="E4" s="4" t="n">
        <v>30</v>
      </c>
      <c r="F4" s="5" t="n">
        <v>1800</v>
      </c>
      <c r="G4" s="5" t="n">
        <v>60</v>
      </c>
      <c r="H4" s="5" t="n">
        <v>1800</v>
      </c>
      <c r="I4" s="4" t="inlineStr">
        <is>
          <t>rental</t>
        </is>
      </c>
    </row>
    <row r="5">
      <c r="A5" s="4" t="inlineStr">
        <is>
          <t>INV-1187</t>
        </is>
      </c>
      <c r="B5" s="4" t="inlineStr">
        <is>
          <t>TTSPL6307</t>
        </is>
      </c>
      <c r="C5" s="4" t="inlineStr">
        <is>
          <t>2026-09-01</t>
        </is>
      </c>
      <c r="D5" s="4" t="inlineStr">
        <is>
          <t>2026-09-30</t>
        </is>
      </c>
      <c r="E5" s="4" t="n">
        <v>30</v>
      </c>
      <c r="F5" s="5" t="n">
        <v>1500</v>
      </c>
      <c r="G5" s="5" t="n">
        <v>50</v>
      </c>
      <c r="H5" s="5" t="n">
        <v>1500</v>
      </c>
      <c r="I5" s="4" t="inlineStr">
        <is>
          <t>rental</t>
        </is>
      </c>
    </row>
    <row r="6">
      <c r="G6" s="9" t="inlineStr">
        <is>
          <t>TOTAL</t>
        </is>
      </c>
      <c r="H6" s="8">
        <f>SUM(H4:H5)</f>
        <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2026-09-20T17:22:14+00:00Z</dcterms:created>
  <dcterms:modified xmlns:dcterms="http://purl.org/dc/terms/" xmlns:xsi="http://www.w3.org/2001/XMLSchema-instance" xsi:type="dcterms:W3CDTF">2026-09-20T17:22:14+00:00Z</dcterms:modified>
</cp:coreProperties>
</file>