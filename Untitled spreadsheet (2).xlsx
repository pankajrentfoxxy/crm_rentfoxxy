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Q1 PPG postpaid" sheetId="2" r:id="rId6"/>
    <sheet state="visible" name="Q2 TTSPL3059" sheetId="3" r:id="rId7"/>
    <sheet state="visible" name="Q3 Credits kept" sheetId="4" r:id="rId8"/>
    <sheet state="visible" name="Q4 Credits cancel" sheetId="5" r:id="rId9"/>
    <sheet state="visible" name="Q5 TTSPL3450" sheetId="6" r:id="rId10"/>
    <sheet state="visible" name="Q6 Credit over bill" sheetId="7" r:id="rId11"/>
    <sheet state="visible" name="Q7 Not billed" sheetId="8" r:id="rId12"/>
    <sheet state="visible" name="Q8 Rs1 laptops" sheetId="9" r:id="rId13"/>
    <sheet state="visible" name="Q9 Rates" sheetId="10" r:id="rId14"/>
    <sheet state="visible" name="Q10 GSTIN" sheetId="11" r:id="rId15"/>
    <sheet state="visible" name="Q11 Old repairs" sheetId="12" r:id="rId16"/>
    <sheet state="visible" name="October preview" sheetId="13" r:id="rId17"/>
    <sheet state="visible" name="Info - no answer needed" sheetId="14" r:id="rId18"/>
  </sheets>
  <definedNames/>
  <calcPr/>
</workbook>
</file>

<file path=xl/sharedStrings.xml><?xml version="1.0" encoding="utf-8"?>
<sst xmlns="http://schemas.openxmlformats.org/spreadsheetml/2006/main" count="1729" uniqueCount="740">
  <si>
    <t>Q2 — TTSPL3059: sold laptop still set up as rented at Rs 20,000/month</t>
  </si>
  <si>
    <t>Billing run 1 Oct 2026 — final check (questions before generating)</t>
  </si>
  <si>
    <t>Q3 — Returned laptops: invoice line was trimmed later, credit note pending</t>
  </si>
  <si>
    <t>Q1 — PPG Asian Paints (postpaid): August invoice would be overwritten</t>
  </si>
  <si>
    <t>Built 30 Sep 2026 night from the live CRM plus a full rolled-back simulation of the October run (207 customers, 0 errors, nothing saved).</t>
  </si>
  <si>
    <t>What this is</t>
  </si>
  <si>
    <t>Same situation as TTSPL7540 and TTSPL5452. Each September invoice was created on 1–2 Sep (before the laptop came back) and later trimmed in the CRM to the return date, while a credit note for the rest of September is pending. If Zoho billed the full month, the credit is correct and the CRM invoice line is wrong.</t>
  </si>
  <si>
    <t>TTSPL3059 replaced sold laptop TTSPL6191 for RRA Project Management (warranty) but was put on a new SO/26-27/1292 and left "rented" at the Rs 20,000 sale price. You decided on 27 Sep that a sale replacement goes on the original sale SO at Rs 0.</t>
  </si>
  <si>
    <t>Customers in the run</t>
  </si>
  <si>
    <t>My recommendation</t>
  </si>
  <si>
    <t>Keep every credit note. Put the CRM September line back to 1–30 Sep so the CRM matches Zoho (as done for TTSPL4837 / TTSPL4405). If any customer was billed only to the return date in Zoho, write "Cancel credit" on that row.</t>
  </si>
  <si>
    <t>Before the run I mark TTSPL3059 "sold" on the original sale order SO/25-26/3019 at Rs 0, so it is not billed.</t>
  </si>
  <si>
    <t>October invoices that would be created</t>
  </si>
  <si>
    <t>PPG is the only postpaid customer. The run bills September occupancy and looks for the existing draft; it finds the August invoice INV-0974 (still draft) and rebuilds it with September lines.</t>
  </si>
  <si>
    <t>Your answer</t>
  </si>
  <si>
    <t>Keep credit - restore line / Cancel credit</t>
  </si>
  <si>
    <t>Yes - mark sold / No - it is a rental</t>
  </si>
  <si>
    <t>Laptops rented/in transit on a customer</t>
  </si>
  <si>
    <t>…of which on an October invoice</t>
  </si>
  <si>
    <t>If INV-0052 and INV-0974 were issued to PPG in Zoho, I mark both "sent" before the run. The run then creates a new September invoice and August stays as issued.</t>
  </si>
  <si>
    <t>Not on an invoice (see Q7)</t>
  </si>
  <si>
    <t>Credit note</t>
  </si>
  <si>
    <t>Invoice subtotals before GST, rent + security (Rs)</t>
  </si>
  <si>
    <t>TTSPL</t>
  </si>
  <si>
    <t>Customer</t>
  </si>
  <si>
    <t>Current DC</t>
  </si>
  <si>
    <t>Warehouse received</t>
  </si>
  <si>
    <t>Sales order</t>
  </si>
  <si>
    <t>Invoice</t>
  </si>
  <si>
    <t>Status</t>
  </si>
  <si>
    <t>Invoice status</t>
  </si>
  <si>
    <t>Issued in Zoho - mark sent / Not issued - leave</t>
  </si>
  <si>
    <t>Invoice created</t>
  </si>
  <si>
    <t>Monthly rate (Rs)</t>
  </si>
  <si>
    <t>Invoice line (CRM now)</t>
  </si>
  <si>
    <t>Run would bill Sept (Rs)</t>
  </si>
  <si>
    <t>Credit period</t>
  </si>
  <si>
    <t>Run would bill Oct (Rs)</t>
  </si>
  <si>
    <t>Credit (Rs)</t>
  </si>
  <si>
    <t>Total (Rs)</t>
  </si>
  <si>
    <t>Remarks</t>
  </si>
  <si>
    <t>CN-0253</t>
  </si>
  <si>
    <t>TTSPL3059</t>
  </si>
  <si>
    <t>ASCENT RISK &amp; RESILIENCE SOFTWARE PRIVATE LIMITED</t>
  </si>
  <si>
    <t>RRA Project Management Private Limited</t>
  </si>
  <si>
    <t>TTSPL4752</t>
  </si>
  <si>
    <t>DC/26-27/1268</t>
  </si>
  <si>
    <t>2026-09-07</t>
  </si>
  <si>
    <t>SO/26-27/1292</t>
  </si>
  <si>
    <t>INV-1031</t>
  </si>
  <si>
    <t>rented</t>
  </si>
  <si>
    <t>draft</t>
  </si>
  <si>
    <t>2026-09-02</t>
  </si>
  <si>
    <t>2026-09-01 to 2026-09-07</t>
  </si>
  <si>
    <t>2026-09-08 to 2026-09-30</t>
  </si>
  <si>
    <t>Month</t>
  </si>
  <si>
    <t>From</t>
  </si>
  <si>
    <t>To</t>
  </si>
  <si>
    <t>Subtotal (Rs)</t>
  </si>
  <si>
    <t>Grand total (Rs)</t>
  </si>
  <si>
    <t>What happens</t>
  </si>
  <si>
    <t>Return credit notes the run creates (Rs)</t>
  </si>
  <si>
    <t>Sum of tab "Info - no answer needed", block C</t>
  </si>
  <si>
    <t>INV-0052</t>
  </si>
  <si>
    <t>Q</t>
  </si>
  <si>
    <t>2026-07-01</t>
  </si>
  <si>
    <t>2026-07-31</t>
  </si>
  <si>
    <t>Tab</t>
  </si>
  <si>
    <t>Question</t>
  </si>
  <si>
    <t>Rows</t>
  </si>
  <si>
    <t>Amount (Rs)</t>
  </si>
  <si>
    <t>July bill, still draft. Not touched by the run.</t>
  </si>
  <si>
    <t>Answered</t>
  </si>
  <si>
    <t>Blocks the run?</t>
  </si>
  <si>
    <t>Q1</t>
  </si>
  <si>
    <t>Q1 PPG postpaid</t>
  </si>
  <si>
    <t>Keep credit - restore line</t>
  </si>
  <si>
    <t>PPG August invoice INV-0974 would be overwritten</t>
  </si>
  <si>
    <t>Yes - mark sold</t>
  </si>
  <si>
    <t>Issued in Zoho - mark sent</t>
  </si>
  <si>
    <t>CN-0255</t>
  </si>
  <si>
    <t>TTSPL4940</t>
  </si>
  <si>
    <t>2026-09-09</t>
  </si>
  <si>
    <t>INV-0974</t>
  </si>
  <si>
    <t>2026-09-01 to 2026-09-09</t>
  </si>
  <si>
    <t>2026-09-10 to 2026-09-30</t>
  </si>
  <si>
    <t>2026-08-01</t>
  </si>
  <si>
    <t>-</t>
  </si>
  <si>
    <t>2026-08-31</t>
  </si>
  <si>
    <t>August bill. The run would REBUILD this draft with September data (new subtotal 16,974.53) and August would be lost.</t>
  </si>
  <si>
    <t>TTSPL6511</t>
  </si>
  <si>
    <t>2026-09-08</t>
  </si>
  <si>
    <t>2026-09-01 to 2026-09-08</t>
  </si>
  <si>
    <t>2026-09-09 to 2026-09-30</t>
  </si>
  <si>
    <t>TTSPL6959</t>
  </si>
  <si>
    <t>CN-0274</t>
  </si>
  <si>
    <t>BIODEAL PHARMACEUTICALS LIMITED</t>
  </si>
  <si>
    <t>TTSPL5496</t>
  </si>
  <si>
    <t>2026-09-17</t>
  </si>
  <si>
    <t>INV-1043</t>
  </si>
  <si>
    <t>sent</t>
  </si>
  <si>
    <t>2026-09-01 to 2026-09-17</t>
  </si>
  <si>
    <t>2026-09-18 to 2026-09-30</t>
  </si>
  <si>
    <t>Yes</t>
  </si>
  <si>
    <t>TTSPL6630</t>
  </si>
  <si>
    <t>2026-09-19</t>
  </si>
  <si>
    <t>Q2</t>
  </si>
  <si>
    <t>Q2 TTSPL3059</t>
  </si>
  <si>
    <t>2026-09-01 to 2026-09-19</t>
  </si>
  <si>
    <t>2026-09-20 to 2026-09-30</t>
  </si>
  <si>
    <t>TTSPL3059 sold laptop would be billed Rs 38,000</t>
  </si>
  <si>
    <t>CN-0256</t>
  </si>
  <si>
    <t>TTSPL6827</t>
  </si>
  <si>
    <t>CN-0024</t>
  </si>
  <si>
    <t>Beom Commerce Private Limited</t>
  </si>
  <si>
    <t>TTSPL4943</t>
  </si>
  <si>
    <t>INV-1005</t>
  </si>
  <si>
    <t>2026-09-01</t>
  </si>
  <si>
    <t>2026-09-01 to 2026-09-02</t>
  </si>
  <si>
    <t>2026-09-03 to 2026-09-30</t>
  </si>
  <si>
    <t>CN-0263</t>
  </si>
  <si>
    <t>DROR SERVICES PRIVATE LIMITED</t>
  </si>
  <si>
    <t>TTSPL6500</t>
  </si>
  <si>
    <t>2026-09-11</t>
  </si>
  <si>
    <t>INV-1065</t>
  </si>
  <si>
    <t>2026-09-01 to 2026-09-11</t>
  </si>
  <si>
    <t>2026-09-12 to 2026-09-30</t>
  </si>
  <si>
    <t>CN-0248</t>
  </si>
  <si>
    <t>FLEET LABS TECHNOLOGIES PRIVATE LIMITED</t>
  </si>
  <si>
    <t>TTSPL4513</t>
  </si>
  <si>
    <t>2026-09-04</t>
  </si>
  <si>
    <t>INV-1081</t>
  </si>
  <si>
    <t>2026-09-01 to 2026-09-04</t>
  </si>
  <si>
    <t>2026-09-05 to 2026-09-30</t>
  </si>
  <si>
    <t>CN-0264</t>
  </si>
  <si>
    <t>TTSPL4792</t>
  </si>
  <si>
    <t>Q3</t>
  </si>
  <si>
    <t>Q3 Credits kept</t>
  </si>
  <si>
    <t>36 credit lines: keep credit, restore Sept invoice line to full month</t>
  </si>
  <si>
    <t>TTSPL5116</t>
  </si>
  <si>
    <t>TTSPL6222</t>
  </si>
  <si>
    <t>TTSPL7043</t>
  </si>
  <si>
    <t>TTSPL7370</t>
  </si>
  <si>
    <t>TTSPL7373</t>
  </si>
  <si>
    <t>2026-09-12</t>
  </si>
  <si>
    <t>2026-09-01 to 2026-09-12</t>
  </si>
  <si>
    <t>2026-09-13 to 2026-09-30</t>
  </si>
  <si>
    <t>Q4</t>
  </si>
  <si>
    <t>CN-0260</t>
  </si>
  <si>
    <t>Q4 Credits cancel</t>
  </si>
  <si>
    <t>LEEWAYHERTZ TECHNOLOGIES PRIVATE LIMITED</t>
  </si>
  <si>
    <t>TTSPL4018</t>
  </si>
  <si>
    <t>2026-09-15</t>
  </si>
  <si>
    <t>6 credit notes to cancel (repair-window + June)</t>
  </si>
  <si>
    <t>INV-1013</t>
  </si>
  <si>
    <t>2026-09-01 to 2026-09-15</t>
  </si>
  <si>
    <t>2026-09-16 to 2026-09-30</t>
  </si>
  <si>
    <t>TTSPL7018</t>
  </si>
  <si>
    <t>CN-0096</t>
  </si>
  <si>
    <t>PERNIMIUS FINANCIAL TECHNOLOGIES PRIVATE LIMITED</t>
  </si>
  <si>
    <t>TTSPL3049</t>
  </si>
  <si>
    <t>INV-1018</t>
  </si>
  <si>
    <t>CN-0258</t>
  </si>
  <si>
    <t>PIBIT TECHNOLOGIES PRIVATE LIMITED</t>
  </si>
  <si>
    <t>TTSPL4610</t>
  </si>
  <si>
    <t>2026-09-10</t>
  </si>
  <si>
    <t>INV-1120</t>
  </si>
  <si>
    <t>2026-09-01 to 2026-09-10</t>
  </si>
  <si>
    <t>2026-09-11 to 2026-09-30</t>
  </si>
  <si>
    <t>TTSPL5850</t>
  </si>
  <si>
    <t>Q5</t>
  </si>
  <si>
    <t>Q5 TTSPL3450</t>
  </si>
  <si>
    <t>TTSPL3450 Ratham may be owed Rs 1,380 credit</t>
  </si>
  <si>
    <t>TTSPL7359</t>
  </si>
  <si>
    <t>TTSPL7367</t>
  </si>
  <si>
    <t>TTSPL7427</t>
  </si>
  <si>
    <t>No</t>
  </si>
  <si>
    <t>Q6</t>
  </si>
  <si>
    <t>Q6 Credit over bill</t>
  </si>
  <si>
    <t>TTSPL7540</t>
  </si>
  <si>
    <t>3 customers: credit larger than the October bill</t>
  </si>
  <si>
    <t>TTSPL7541</t>
  </si>
  <si>
    <t>CN-0279</t>
  </si>
  <si>
    <t>QUEST SOLUTIONS PRIVATE LIMITED</t>
  </si>
  <si>
    <t>TTSPL3876</t>
  </si>
  <si>
    <t>2026-09-23</t>
  </si>
  <si>
    <t>INV-1125</t>
  </si>
  <si>
    <t>2026-09-01 to 2026-09-23</t>
  </si>
  <si>
    <t>2026-09-24 to 2026-09-30</t>
  </si>
  <si>
    <t>CN-0259</t>
  </si>
  <si>
    <t>RHOPHI ANALYTICS LLP (Punjab)</t>
  </si>
  <si>
    <t>TTSPL5452</t>
  </si>
  <si>
    <t>INV-1011</t>
  </si>
  <si>
    <t>Q7</t>
  </si>
  <si>
    <t>Q7 Not billed</t>
  </si>
  <si>
    <t>6 rented laptops skipped (no rate / no start date)</t>
  </si>
  <si>
    <t>TTSPL5533</t>
  </si>
  <si>
    <t>CN-0262</t>
  </si>
  <si>
    <t>RITU DAVID CONSULTING</t>
  </si>
  <si>
    <t>TTSPL7349</t>
  </si>
  <si>
    <t>INV-1133</t>
  </si>
  <si>
    <t>CN-0275</t>
  </si>
  <si>
    <t>SGATE TECH SOLUTIONS PRIVATE LIMITED</t>
  </si>
  <si>
    <t>TTSPL6376</t>
  </si>
  <si>
    <t>INV-1142</t>
  </si>
  <si>
    <t>Q8</t>
  </si>
  <si>
    <t>Q8 Rs1 laptops</t>
  </si>
  <si>
    <t>25 laptops at Rs 1/month</t>
  </si>
  <si>
    <t>CN-0246</t>
  </si>
  <si>
    <t>SLEEP MANAGEMENT PRIVATE LIMITED</t>
  </si>
  <si>
    <t>TTSPL5167</t>
  </si>
  <si>
    <t>2026-09-03</t>
  </si>
  <si>
    <t>INV-1014</t>
  </si>
  <si>
    <t>2026-09-01 to 2026-09-03</t>
  </si>
  <si>
    <t>2026-09-04 to 2026-09-30</t>
  </si>
  <si>
    <t>CN-0266</t>
  </si>
  <si>
    <t>SPNN BUSINESS SERVICES PRIVATE LIMITED</t>
  </si>
  <si>
    <t>TTSPL6725</t>
  </si>
  <si>
    <t>2026-09-14</t>
  </si>
  <si>
    <t>INV-1017</t>
  </si>
  <si>
    <t>2026-09-01 to 2026-09-14</t>
  </si>
  <si>
    <t>2026-09-15 to 2026-09-30</t>
  </si>
  <si>
    <t>Q9</t>
  </si>
  <si>
    <t>Q9 Rates</t>
  </si>
  <si>
    <t>3 laptops: which monthly rate is right</t>
  </si>
  <si>
    <t>CN-0257</t>
  </si>
  <si>
    <t>STEFEN ELECTRIC PRIVATE LIMIED</t>
  </si>
  <si>
    <t>TTSPL4935</t>
  </si>
  <si>
    <t>INV-1147</t>
  </si>
  <si>
    <t>Q10</t>
  </si>
  <si>
    <t>CN-0268</t>
  </si>
  <si>
    <t>Q10 GSTIN</t>
  </si>
  <si>
    <t>Tekuncorked Aiiot Private Limited</t>
  </si>
  <si>
    <t>10 customers without GSTIN</t>
  </si>
  <si>
    <t>TTSPL3789</t>
  </si>
  <si>
    <t>2026-09-18</t>
  </si>
  <si>
    <t>INV-1163</t>
  </si>
  <si>
    <t>2026-09-01 to 2026-09-18</t>
  </si>
  <si>
    <t>2026-09-19 to 2026-09-30</t>
  </si>
  <si>
    <t>CN-0261</t>
  </si>
  <si>
    <t>ZENITHIA GARDEN OF JOY PRIVATE LIMITED</t>
  </si>
  <si>
    <t>TTSPL3186</t>
  </si>
  <si>
    <t>INV-1182</t>
  </si>
  <si>
    <t>Q11</t>
  </si>
  <si>
    <t>Q11 Old repairs</t>
  </si>
  <si>
    <t>4 old repairs: going back to the customer or not</t>
  </si>
  <si>
    <t>How to use: open each Q tab, read the three lines at the top, then fill the yellow "Your answer" (drop-down) and "Remarks" columns. Nothing else needs editing.</t>
  </si>
  <si>
    <t>Example: tab "Q2 TTSPL3059", row TTSPL3059 → Your answer = "Yes - mark sold", Remarks = "Warranty replacement for TTSPL6191".</t>
  </si>
  <si>
    <t>"Blocks the run?" = Yes means the run would do something wrong (overwrite or bill/credit money wrongly) if we generate before your answer. The others can be fixed after the run.</t>
  </si>
  <si>
    <t>After your answers: I apply the fixes (dry run + backup first), repeat this simulation, and only then you click Generate invoices once for October.</t>
  </si>
  <si>
    <t>Q4 — Pending credit notes that go against the agreed rules</t>
  </si>
  <si>
    <t>Five "repair window" credit notes credit the days a laptop sat in our warehouse during a repair. Under the rule you confirmed on 30 Sep (repair = continuous rent, no credit), they should not exist. CN-0062 credits one June day that no invoice billed.</t>
  </si>
  <si>
    <t>Cancel all six before the run.</t>
  </si>
  <si>
    <t>Cancel / Keep</t>
  </si>
  <si>
    <t>Type</t>
  </si>
  <si>
    <t>Period</t>
  </si>
  <si>
    <t>Why</t>
  </si>
  <si>
    <t>CN-0062</t>
  </si>
  <si>
    <t>Q5 — TTSPL3450 (Ratham): trimmed invoice line, no credit note</t>
  </si>
  <si>
    <t>BLUEJAY WORKTECH PRIVATE LIMITED</t>
  </si>
  <si>
    <t>TTSPL2111</t>
  </si>
  <si>
    <t>return</t>
  </si>
  <si>
    <t>2026-06-30 to 2026-06-30</t>
  </si>
  <si>
    <t>Credit for 30 Jun (1 day); no invoice line covers that day.</t>
  </si>
  <si>
    <t>Cancel</t>
  </si>
  <si>
    <t>Not required.</t>
  </si>
  <si>
    <t>The opposite of Q3: INV-1129 was created 2 Sep, the September line for TTSPL3450 was later cut to 1–7 Sep, and no credit note exists. If Zoho billed the full month, Ratham is owed credit for 8–30 Sep.</t>
  </si>
  <si>
    <t>CN-0282</t>
  </si>
  <si>
    <t>Mercury Solutions Limited</t>
  </si>
  <si>
    <t>TTSPL3552</t>
  </si>
  <si>
    <t>repair</t>
  </si>
  <si>
    <t>2026-09-10 to 2026-09-16</t>
  </si>
  <si>
    <t>Repair-window credit (warehouse days during a repair). Your 30 Sep rule: repair = continuous rent, no credit.</t>
  </si>
  <si>
    <t>Keep</t>
  </si>
  <si>
    <t>Same rule as Q3: restore the line to 1–30 Sep and issue a return credit note for 8–30 Sep.</t>
  </si>
  <si>
    <t>I can see that this came back twice in september and again create another DC to send to another location. Check and charge accordingly.</t>
  </si>
  <si>
    <t>CN-0283</t>
  </si>
  <si>
    <t>TTSPL3731</t>
  </si>
  <si>
    <t>Yes - credit / No - Zoho billed only to 7 Sep</t>
  </si>
  <si>
    <t>2026-09-16 to 2026-09-16</t>
  </si>
  <si>
    <t>but now, this laptop has been returned. SO, we have to give credit note from warehouse receive date</t>
  </si>
  <si>
    <t>CN-0284</t>
  </si>
  <si>
    <t>TTSPL4019</t>
  </si>
  <si>
    <t>2026-09-24 to 2026-09-24</t>
  </si>
  <si>
    <t>As this laptop has been sent back in a week only. (So,  no credit note)</t>
  </si>
  <si>
    <t>CN-0285</t>
  </si>
  <si>
    <t>RATHAM TECHNOLOGIES LLP</t>
  </si>
  <si>
    <t>TTSPL4053</t>
  </si>
  <si>
    <t>2026-09-17 to 2026-09-18</t>
  </si>
  <si>
    <t>Credit 8–30 Sep (Rs)</t>
  </si>
  <si>
    <t>CN-0286</t>
  </si>
  <si>
    <t>TTSPL4515</t>
  </si>
  <si>
    <t>TTSPL3450</t>
  </si>
  <si>
    <t>INV-1129</t>
  </si>
  <si>
    <t>Q6 — Credit notes larger than the October bill</t>
  </si>
  <si>
    <t>When a credit note is applied, the invoice cannot go below zero; the extra credit is dropped today (not carried forward).</t>
  </si>
  <si>
    <t>Q7 — Laptops with a customer that the run will NOT bill</t>
  </si>
  <si>
    <t>Apply what fits in October and keep the rest as a pending credit for November (I split the credit note). Or refund it.</t>
  </si>
  <si>
    <t>Carry forward / Refund / Drop</t>
  </si>
  <si>
    <t>These laptops are rented to a customer but have no monthly rate or no rent start date, so the run skips them silently.</t>
  </si>
  <si>
    <t>Give me the missing value in Remarks (rate in Rs/month, or start date as YYYY-MM-DD). Write "Free" if it should not be billed.</t>
  </si>
  <si>
    <t>Bill - value in Remarks / Free / Not with customer</t>
  </si>
  <si>
    <t>Customer id</t>
  </si>
  <si>
    <t>October bill before GST (Rs)</t>
  </si>
  <si>
    <t>Pending credits (Rs)</t>
  </si>
  <si>
    <t>Credit that would be lost (Rs)</t>
  </si>
  <si>
    <t>Serial</t>
  </si>
  <si>
    <t>DC</t>
  </si>
  <si>
    <t>Rent start</t>
  </si>
  <si>
    <t>Missing</t>
  </si>
  <si>
    <t>Nexthire LLP</t>
  </si>
  <si>
    <t>TTSPLGR0127</t>
  </si>
  <si>
    <t>J2WN8S2</t>
  </si>
  <si>
    <t>PARTS AVATAR INDIA PRIVATE LIMITED</t>
  </si>
  <si>
    <t>rent start date</t>
  </si>
  <si>
    <t>TTSPL3537</t>
  </si>
  <si>
    <t>PC1M8NXD</t>
  </si>
  <si>
    <t>TRUETECH SERVICES PRIVATE LIMITED</t>
  </si>
  <si>
    <t>TTSPL1973</t>
  </si>
  <si>
    <t>C4TDTQ2</t>
  </si>
  <si>
    <t>TTSPL1942</t>
  </si>
  <si>
    <t>C02G84DNQ6L4</t>
  </si>
  <si>
    <t>ANTINO LABS PRIVATE LIMITED</t>
  </si>
  <si>
    <t>DC-000528</t>
  </si>
  <si>
    <t>2026-02-06</t>
  </si>
  <si>
    <t>monthly rate</t>
  </si>
  <si>
    <t>TTSPL6107</t>
  </si>
  <si>
    <t>XSKY LOUNGE HOSPITALITY PRIVATE LIMITED</t>
  </si>
  <si>
    <t>PF31SJN6</t>
  </si>
  <si>
    <t>PRO-ALIGN SECURITY INDIA PRIVATE LIMITED</t>
  </si>
  <si>
    <t>monthly rate + rent start date</t>
  </si>
  <si>
    <t>TTSPL5286</t>
  </si>
  <si>
    <t>PF255KE1</t>
  </si>
  <si>
    <t>TechIt Digital</t>
  </si>
  <si>
    <t>SDC/26-27/0011</t>
  </si>
  <si>
    <t>CARRUM MOBILITY SOLUTIONS PRIVATE LIMITED(KA)</t>
  </si>
  <si>
    <t>Q8 — Laptops billed at Rs 1 (or less) per month</t>
  </si>
  <si>
    <t>These rented laptops will get a Rs 1 line (demo / free units). TruTech and OLA hold most of them.</t>
  </si>
  <si>
    <t>Confirm each is free. If a laptop should now be paid, put the monthly rate in Remarks.</t>
  </si>
  <si>
    <t>Free - keep Rs 1 / Paid - rate in Remarks</t>
  </si>
  <si>
    <t>Q9 — Monthly rate differs from the sales order (open since 27 Sep)</t>
  </si>
  <si>
    <t>Rate (Rs)</t>
  </si>
  <si>
    <t>TTSPL3437</t>
  </si>
  <si>
    <t>D3Q1F63</t>
  </si>
  <si>
    <t>DC-003484</t>
  </si>
  <si>
    <t>The billed rate and the sales-order rate disagree. The run bills the billed rate.</t>
  </si>
  <si>
    <t>Tell me the correct monthly rate in Remarks.</t>
  </si>
  <si>
    <t>Billed rate right / SO rate right / Other - Remarks</t>
  </si>
  <si>
    <t>Q10 — Customers invoiced without a GSTIN</t>
  </si>
  <si>
    <t>TTSPL2993</t>
  </si>
  <si>
    <t>5W5VN73</t>
  </si>
  <si>
    <t>DC-003485</t>
  </si>
  <si>
    <t>(no TTSPL)</t>
  </si>
  <si>
    <t>CN-05NT8R-PRC00-39K-06KF</t>
  </si>
  <si>
    <t>SUKHMAA SONS AND ASSOCIATES</t>
  </si>
  <si>
    <t>SO rate (Rs)</t>
  </si>
  <si>
    <t>CGST+SGST or IGST is decided from the GSTIN state (from 30 Sep). Without a GSTIN the billing state is used; Leverage Edu has neither.</t>
  </si>
  <si>
    <t>Billed rate (Rs)</t>
  </si>
  <si>
    <t>Note</t>
  </si>
  <si>
    <t>CN-05NT8R-PRC00-39K-06KG</t>
  </si>
  <si>
    <t>Give GSTIN (or confirm B2C / unregistered) in Remarks. Leverage Edu needs at least a billing state.</t>
  </si>
  <si>
    <t>TTSPL3208</t>
  </si>
  <si>
    <t>TTSPL3977</t>
  </si>
  <si>
    <t>Research Nester Private Limited</t>
  </si>
  <si>
    <t>J4YN8S3</t>
  </si>
  <si>
    <t>SO-001363</t>
  </si>
  <si>
    <t>DC-000434</t>
  </si>
  <si>
    <t>GSTIN in Remarks / Unregistered - use billing state</t>
  </si>
  <si>
    <t>Run also bills 18 Jul–30 Sep catch-up at 689.23 (Rs 2,379)</t>
  </si>
  <si>
    <t>Other - Remarks</t>
  </si>
  <si>
    <t>This should not be billed . Because it is in warehouse. I have checked my master sheet.( return on 3 April 2026)</t>
  </si>
  <si>
    <t>TTSPL3589</t>
  </si>
  <si>
    <t>CN-0657PN-64180-548-046B</t>
  </si>
  <si>
    <t>SO-003177</t>
  </si>
  <si>
    <t>BRAINBOX NETWORK</t>
  </si>
  <si>
    <t>GSTIN</t>
  </si>
  <si>
    <t>Billed Rs 1/month</t>
  </si>
  <si>
    <t>Billing state</t>
  </si>
  <si>
    <t>Problem</t>
  </si>
  <si>
    <t>Billed rate right</t>
  </si>
  <si>
    <t>This is our inhouse billing. Leave as same</t>
  </si>
  <si>
    <t>TTSPL5909</t>
  </si>
  <si>
    <t>5CD1218T2M</t>
  </si>
  <si>
    <t>TTSPL3246</t>
  </si>
  <si>
    <t>OLA</t>
  </si>
  <si>
    <t>BM Computers</t>
  </si>
  <si>
    <t>Leverage Edu</t>
  </si>
  <si>
    <t>SO-003506</t>
  </si>
  <si>
    <t>No GSTIN and no billing state — tax head defaults to Haryana</t>
  </si>
  <si>
    <t>SO rate looks like a sale price</t>
  </si>
  <si>
    <t>SO rate right</t>
  </si>
  <si>
    <t>This is not rented laptop. This is sales laptop.</t>
  </si>
  <si>
    <t>TTSPL5129</t>
  </si>
  <si>
    <t>PF55FX53</t>
  </si>
  <si>
    <t>TTSPL5833</t>
  </si>
  <si>
    <t>F633JL3</t>
  </si>
  <si>
    <t>I will update tomorrow before generation of invoice</t>
  </si>
  <si>
    <t>TTSPL5603</t>
  </si>
  <si>
    <t>BIOSKY SPACE INNOVATIONS PRIVATE LIMITED</t>
  </si>
  <si>
    <t>PF33C7AF</t>
  </si>
  <si>
    <t>haryana</t>
  </si>
  <si>
    <t>No GSTIN</t>
  </si>
  <si>
    <t>TTSPL7300</t>
  </si>
  <si>
    <t>8WZK2J3</t>
  </si>
  <si>
    <t>DC/26-27/0421</t>
  </si>
  <si>
    <t>PC11LLRZ</t>
  </si>
  <si>
    <t>DC-003145</t>
  </si>
  <si>
    <t>B2C (Pranshu Sharma)</t>
  </si>
  <si>
    <t>Haryana</t>
  </si>
  <si>
    <t>TTSPL3492</t>
  </si>
  <si>
    <t>85PR3J3</t>
  </si>
  <si>
    <t>DC-003686</t>
  </si>
  <si>
    <t>CIPHERBEAT LLP</t>
  </si>
  <si>
    <t>TTSPL2380</t>
  </si>
  <si>
    <t>G1RYBG2</t>
  </si>
  <si>
    <t>DC-001161</t>
  </si>
  <si>
    <t>TTSPL5083</t>
  </si>
  <si>
    <t>NO S/N-erp2958</t>
  </si>
  <si>
    <t>DC/26-27/0745</t>
  </si>
  <si>
    <t>4 PROSPER TECHNOLOGIES PRIVATE LIMITED</t>
  </si>
  <si>
    <t>Uttar Pradesh</t>
  </si>
  <si>
    <t>TTSPL5345</t>
  </si>
  <si>
    <t>7QDRDK3</t>
  </si>
  <si>
    <t>DC-001168</t>
  </si>
  <si>
    <t>Technians Softech Pvt.Ltd</t>
  </si>
  <si>
    <t>TTSPL4229</t>
  </si>
  <si>
    <t>G9J1BC3</t>
  </si>
  <si>
    <t>DC-001170</t>
  </si>
  <si>
    <t>MERVICE INFOTECH PRIVATE LIMITED</t>
  </si>
  <si>
    <t>TTSPL6260</t>
  </si>
  <si>
    <t>DZ33C63</t>
  </si>
  <si>
    <t>DC/26-27/0356</t>
  </si>
  <si>
    <t>GOOLEAN TECHNOLOGIES PRIVATE LIMITED</t>
  </si>
  <si>
    <t>TTSPL5620</t>
  </si>
  <si>
    <t>PG02SK9X</t>
  </si>
  <si>
    <t>DC-001173</t>
  </si>
  <si>
    <t>TTSPL4169</t>
  </si>
  <si>
    <t>6M3Y1F3</t>
  </si>
  <si>
    <t>DC-001169</t>
  </si>
  <si>
    <t>TTSPL5702</t>
  </si>
  <si>
    <t>BJQYCL3</t>
  </si>
  <si>
    <t>ABJAYON CONSULTANCY PRIVATE LIMITED</t>
  </si>
  <si>
    <t>DC/26-27/0851</t>
  </si>
  <si>
    <t>Q11 — Repairs from July/August still open, not billed</t>
  </si>
  <si>
    <t>TTSPL2863</t>
  </si>
  <si>
    <t>GYRXZF2</t>
  </si>
  <si>
    <t>Amar Amba Finance Hire Purchase Private Limited</t>
  </si>
  <si>
    <t>DC-003703</t>
  </si>
  <si>
    <t>Under the repair rule, a laptop going back to the same customer bills continuously. These have been in our warehouse (or at the vendor) since July/August with the ticket still open, and are not billed.</t>
  </si>
  <si>
    <t>For each: "Going back" = I bill it continuously from pickup; "Not going back" = support closes the ticket and billing stays stopped at warehouse receipt.</t>
  </si>
  <si>
    <t>Going back - bill / Not going back - close</t>
  </si>
  <si>
    <t>Ticket</t>
  </si>
  <si>
    <t>TTSPL4856</t>
  </si>
  <si>
    <t>Decoreal Aquariums</t>
  </si>
  <si>
    <t>2026-07-25</t>
  </si>
  <si>
    <t>Repair ticket still open (awaiting service return); laptop off customer, not billed since pickup</t>
  </si>
  <si>
    <t>Not going back - close</t>
  </si>
  <si>
    <t>CLose the ticket and don't bill for this</t>
  </si>
  <si>
    <t>TTSPL6901</t>
  </si>
  <si>
    <t>BMRV Engineering Consultants LLP</t>
  </si>
  <si>
    <t>2026-08-05</t>
  </si>
  <si>
    <t>Repair ticket still open; billed until 31 Aug, not billed since</t>
  </si>
  <si>
    <t>TTSPL2454</t>
  </si>
  <si>
    <t>2026-07-16</t>
  </si>
  <si>
    <t>Repair ticket still open; laptop in stock; never billed after pickup</t>
  </si>
  <si>
    <t>TTSPL3950</t>
  </si>
  <si>
    <t>Synergie Network Engineering India Pvt Ltd</t>
  </si>
  <si>
    <t>At vendor on VRDC/26-27/0012 since Jul; still on Synergie (customer 25); billed only to 17 Jul</t>
  </si>
  <si>
    <t>October 2026 run — simulated on 30 Sep night (nothing saved)</t>
  </si>
  <si>
    <t>Every customer was run through the real invoice generator inside a transaction that was rolled back. Amounts are before GST; security deposits shown separately.</t>
  </si>
  <si>
    <t>For information — these follow the agreed rules; no answer needed</t>
  </si>
  <si>
    <t>A. Laptops at the warehouse still billed for October (open repair — rent continues per 30 Sep rule)</t>
  </si>
  <si>
    <t>Laptops billed for Oct</t>
  </si>
  <si>
    <t>October rent (Rs)</t>
  </si>
  <si>
    <t>September catch-up (Rs)</t>
  </si>
  <si>
    <t>Older catch-up (Rs)</t>
  </si>
  <si>
    <t>Security (Rs)</t>
  </si>
  <si>
    <t>Invoice subtotal (Rs)</t>
  </si>
  <si>
    <t>prepaid</t>
  </si>
  <si>
    <t>INV-1196</t>
  </si>
  <si>
    <t>October (Rs)</t>
  </si>
  <si>
    <t>TTSPL7426</t>
  </si>
  <si>
    <t>TTSPL4626</t>
  </si>
  <si>
    <t>TTSPL1457</t>
  </si>
  <si>
    <t>COAL BEAUTY PRIVATE LIMITED</t>
  </si>
  <si>
    <t>TTSPL5391</t>
  </si>
  <si>
    <t>TTSPL6825</t>
  </si>
  <si>
    <t>TTSPL7548</t>
  </si>
  <si>
    <t>Khelo Tech and Strategy Pvt Ltd</t>
  </si>
  <si>
    <t>B. Dispatched 26–30 Sep, still in transit: billed from 1 Oct (September days not billed, total under Rs 2,000)</t>
  </si>
  <si>
    <t>Mode</t>
  </si>
  <si>
    <t>Dispatched</t>
  </si>
  <si>
    <t>TTSPL3676</t>
  </si>
  <si>
    <t>courier</t>
  </si>
  <si>
    <t>2026-09-28</t>
  </si>
  <si>
    <t>TTSPL6324</t>
  </si>
  <si>
    <t>NEURA DYNAMICS PRIVATE LIMITED</t>
  </si>
  <si>
    <t>2026-09-29</t>
  </si>
  <si>
    <t>TTSPL2182</t>
  </si>
  <si>
    <t>TTSPL4895</t>
  </si>
  <si>
    <t>Upila Digital</t>
  </si>
  <si>
    <t>NUTRITIONALAB PRIVATE LIMITED</t>
  </si>
  <si>
    <t>2026-09-26</t>
  </si>
  <si>
    <t>TTSPL6314</t>
  </si>
  <si>
    <t>2026-09-30</t>
  </si>
  <si>
    <t>TTSPL6213</t>
  </si>
  <si>
    <t>TTSPL7206</t>
  </si>
  <si>
    <t>RASAYANAM NUTRIPHARM PRIVATE LIMITED</t>
  </si>
  <si>
    <t>inhouse</t>
  </si>
  <si>
    <t>TTSPL3129</t>
  </si>
  <si>
    <t>TTSPL3750</t>
  </si>
  <si>
    <t>NOTUS SERVICES PRIVATE LIMITED</t>
  </si>
  <si>
    <t>TTSPL7162</t>
  </si>
  <si>
    <t>Optimizing Resources Private Limited</t>
  </si>
  <si>
    <t>TTSPL7758</t>
  </si>
  <si>
    <t>TTSPL7767</t>
  </si>
  <si>
    <t>TTSPL7778</t>
  </si>
  <si>
    <t>TTSPL3138</t>
  </si>
  <si>
    <t>TTSPL7773</t>
  </si>
  <si>
    <t>AUGUSTUS &amp; MK CORPORATION PRIVATE LIMITED</t>
  </si>
  <si>
    <t>C. Return credit notes the run will create automatically (laptops back at the warehouse in September, billed for the full month)</t>
  </si>
  <si>
    <t>Laptops and credit period</t>
  </si>
  <si>
    <t>MOEVING URBAN TECHNOLOGIES PRIVATE LIMITED</t>
  </si>
  <si>
    <t>TTSPL3418 2026-09-11&gt;2026-09-30, TTSPL3438 2026-09-23&gt;2026-09-30, TTSPL3451 2026-09-23&gt;2026-09-30, TTSPL3453 2026-09-23&gt;2026-09-30, TTSPL3500 2026-09-23&gt;2026-09-30, TTSPL3654 2026-09-23&gt;2026-09-30, TTSPL3655 2026-09-29&gt;2026-09-30, TTSPL4081 2026-09-11&gt;2026-09-30, TTSPL5177 2026-09-23&gt;2026-09-30, TTSPL5022 2026-09-29&gt;2026-09-30, TTSPL4322 2026-09-23&gt;2026-09-30, TTSPL5767 2026-09-23&gt;2026-09-30, TTSPL4777 2026-09-11&gt;2026-09-30</t>
  </si>
  <si>
    <t>Trailytics Global Services Private Limited</t>
  </si>
  <si>
    <t>TTSPL3467 2026-09-04&gt;2026-09-30, TTSPL3718 2026-09-04&gt;2026-09-30, TTSPL3077 2026-09-04&gt;2026-09-30</t>
  </si>
  <si>
    <t>TTSPL4815 2026-09-26&gt;2026-09-30, TTSPL4292 2026-09-15&gt;2026-09-30, TTSPL4362 2026-09-15&gt;2026-09-30, TTSPL4607 2026-09-26&gt;2026-09-30, TTSPL6804 2026-09-26&gt;2026-09-30, TTSPL6813 2026-09-26&gt;2026-09-30, TTSPL6222 2026-09-26&gt;2026-09-30, TTSPL6989 2026-09-15&gt;2026-09-30</t>
  </si>
  <si>
    <t>Tagbin Services Pvt Ltd</t>
  </si>
  <si>
    <t>TTSPL3717 2026-09-08&gt;2026-09-30, TTSPL7002 2026-09-08&gt;2026-09-30, TTSPL4191 2026-09-08&gt;2026-09-30</t>
  </si>
  <si>
    <t>Stylework Innovation Hub Pvt Ltd.</t>
  </si>
  <si>
    <t>TTSPL4996 2026-09-17&gt;2026-09-30, TTSPL5451 2026-09-17&gt;2026-09-30, TTSPL7258 2026-09-17&gt;2026-09-30</t>
  </si>
  <si>
    <t>SelectAstro Private Limited</t>
  </si>
  <si>
    <t>TTSPL5506 2026-09-30&gt;2026-09-30, TTSPL3488 2026-09-26&gt;2026-09-30, TTSPL4098 2026-09-22&gt;2026-09-30, TTSPL6047 2026-09-30&gt;2026-09-30, TTSPL5326 2026-09-26&gt;2026-09-30, TTSPL6618 2026-09-08&gt;2026-09-30, TTSPL6943 2026-09-22&gt;2026-09-30, TTSPL6978 2026-09-30&gt;2026-09-30, TTSPL6063 2026-09-22&gt;2026-09-30</t>
  </si>
  <si>
    <t>ERA BOTANICS PRIVATE LIMITED</t>
  </si>
  <si>
    <t>TTSPL4651 2026-09-18&gt;2026-09-30, TTSPL4808 2026-09-18&gt;2026-09-30, TTSPL5636 2026-09-18&gt;2026-09-30, TTSPL5465 2026-09-18&gt;2026-09-30, TTSPL6213 2026-09-18&gt;2026-09-30</t>
  </si>
  <si>
    <t>VALENTA KPO PRIVATE LIMITED</t>
  </si>
  <si>
    <t>TTSPL2938 2026-09-27&gt;2026-09-30, TTSPL3099 2026-09-19&gt;2026-09-30, TTSPL3124 2026-09-19&gt;2026-09-30, TTSPL3584 2026-09-19&gt;2026-09-30, TTSPL2152 2026-09-19&gt;2026-09-30</t>
  </si>
  <si>
    <t>BIZDATEUP TECHNOLOGIES PRIVATE LIMITED</t>
  </si>
  <si>
    <t>TTSPL4911 2026-09-15&gt;2026-09-30, TTSPL3684 2026-09-25&gt;2026-09-30, TTSPL3160 2026-09-15&gt;2026-09-30, TTSPL1972 2026-09-15&gt;2026-09-30, TTSPL5434 2026-09-25&gt;2026-09-30, TTSPL4960 2026-09-25&gt;2026-09-30, TTSPL7116 2026-09-15&gt;2026-09-30, TTSPL7130 2026-09-25&gt;2026-09-30, TTSPL7132 2026-09-25&gt;2026-09-30</t>
  </si>
  <si>
    <t>TTSPL1866 2026-09-09&gt;2026-09-30, TTSPL6734 2026-09-10&gt;2026-09-30, TTSPL6085 2026-09-05&gt;2026-09-30</t>
  </si>
  <si>
    <t>TTSPL4091 2026-09-04&gt;2026-09-30, TTSPL2052 2026-09-10&gt;2026-09-30, TTSPL2901 2026-09-04&gt;2026-09-30, TTSPL2439 2026-09-10&gt;2026-09-30</t>
  </si>
  <si>
    <t>Vaatun Technologies Private Limited</t>
  </si>
  <si>
    <t>TTSPL3466 2026-09-04&gt;2026-09-30</t>
  </si>
  <si>
    <t>TRIPOCLAN TRAVEL PRIVATE LIMITED</t>
  </si>
  <si>
    <t>TTSPL4472 2026-09-11&gt;2026-09-30, TTSPL4611 2026-09-11&gt;2026-09-30</t>
  </si>
  <si>
    <t>TTSPL4798 2026-09-24&gt;2026-09-30, TTSPL4599 2026-09-19&gt;2026-09-30, TTSPL6821 2026-09-23&gt;2026-09-30</t>
  </si>
  <si>
    <t>TTSPL7340 2026-09-04&gt;2026-09-30</t>
  </si>
  <si>
    <t>RENCOMM TELE SERVICES LLP</t>
  </si>
  <si>
    <t>TTSPL3112 2026-09-04&gt;2026-09-30, TTSPL5667 2026-09-12&gt;2026-09-30</t>
  </si>
  <si>
    <t>COSMOFEED TECHNOLOGIES PVT LTD</t>
  </si>
  <si>
    <t>TTSPL3070 2026-09-18&gt;2026-09-30, TTSPL3396 2026-09-18&gt;2026-09-30, TTSPL5665 2026-09-18&gt;2026-09-30</t>
  </si>
  <si>
    <t>TTSPL4704 2026-09-29&gt;2026-09-30, TTSPL3798 2026-09-29&gt;2026-09-30, TTSPL6463 2026-09-29&gt;2026-09-30, TTSPL3787 2026-09-29&gt;2026-09-30, TTSPL6914 2026-09-29&gt;2026-09-30, TTSPL3784 2026-09-29&gt;2026-09-30, TTSPL6080 2026-09-29&gt;2026-09-30, TTSPL6286 2026-09-29&gt;2026-09-30, TTSPL6721 2026-09-29&gt;2026-09-30, TTSPL6731 2026-09-29&gt;2026-09-30, TTSPL6777 2026-09-29&gt;2026-09-30, TTSPL6783 2026-09-29&gt;2026-09-30, TTSPL6262 2026-09-29&gt;2026-09-30, TTSPL6482 2026-09-29&gt;2026-09-30, TTSPL6239 2026-09-29&gt;2026-09-30, TTSPL3008 2026-09-29&gt;2026-09-30, TTSPL3038 2026-09-29&gt;2026-09-30</t>
  </si>
  <si>
    <t>TTSPL5137 2026-09-29&gt;2026-09-30, TTSPL3498 2026-09-29&gt;2026-09-30, TTSPL4795 2026-09-26&gt;2026-09-30, TTSPL5368 2026-09-27&gt;2026-09-30, TTSPL7352 2026-09-27&gt;2026-09-30</t>
  </si>
  <si>
    <t>GRUNMECH TECHNOLOGIES PRIVATE LIMITED</t>
  </si>
  <si>
    <t>TTSPL4275 2026-09-15&gt;2026-09-30</t>
  </si>
  <si>
    <t>Saajha</t>
  </si>
  <si>
    <t>TTSPL2924 2026-09-10&gt;2026-09-30</t>
  </si>
  <si>
    <t>EKSUM COMTECH PRIVATE LIMITED</t>
  </si>
  <si>
    <t>TTSPL7440 2026-09-08&gt;2026-09-30</t>
  </si>
  <si>
    <t>ZYKRR TECHNOLOGIES PRIVATE LIMITED</t>
  </si>
  <si>
    <t>AWL India Private Limited</t>
  </si>
  <si>
    <t>TTSPL6318 2026-09-04&gt;2026-09-30</t>
  </si>
  <si>
    <t>PINNACLEWORKS INFOTECH PRIVATE LIMITED</t>
  </si>
  <si>
    <t>TTSPL2884 2026-09-11&gt;2026-09-30</t>
  </si>
  <si>
    <t>THE CLASS OF ONE</t>
  </si>
  <si>
    <t>TTSPL1777 2026-09-04&gt;2026-09-30</t>
  </si>
  <si>
    <t>GRAYOPUS TECHNOLOGIES PRIVATE LIMITED</t>
  </si>
  <si>
    <t>TTSPL6610 2026-09-16&gt;2026-09-30</t>
  </si>
  <si>
    <t>CARRUM MOBILITY SOLUTIONS PRIVATE LIMITED(MH)</t>
  </si>
  <si>
    <t>TTSPL6159 2026-09-29&gt;2026-09-30, TTSPL6903 2026-09-29&gt;2026-09-30, TTSPL6912 2026-09-29&gt;2026-09-30, TTSPL6494 2026-09-29&gt;2026-09-30, TTSPL6456 2026-09-29&gt;2026-09-30, TTSPL6545 2026-09-29&gt;2026-09-30, TTSPL6506 2026-09-29&gt;2026-09-30, TTSPL6244 2026-09-29&gt;2026-09-30</t>
  </si>
  <si>
    <t>Digital Eco Innovision Private Limited</t>
  </si>
  <si>
    <t>TTSPL3830 2026-09-19&gt;2026-09-30</t>
  </si>
  <si>
    <t>Elysium Labs Pvt Ltd</t>
  </si>
  <si>
    <t>TTSPL3238 2026-09-24&gt;2026-09-30, TTSPL7481 2026-09-24&gt;2026-09-30</t>
  </si>
  <si>
    <t>BROWN ALLIGATOR</t>
  </si>
  <si>
    <t>TTSPL3547 2026-09-26&gt;2026-09-30, TTSPL7580 2026-09-26&gt;2026-09-30</t>
  </si>
  <si>
    <t>Easy Fix Handy Solutions India Private Limited</t>
  </si>
  <si>
    <t>TTSPL4443 2026-09-19&gt;2026-09-30</t>
  </si>
  <si>
    <t>TTSPL5322 2026-09-29&gt;2026-09-30, TTSPL6206 2026-09-25&gt;2026-09-30</t>
  </si>
  <si>
    <t>BILLPLAN FINTECH PRIVATE LIMITED</t>
  </si>
  <si>
    <t>TTSPL6974 2026-09-26&gt;2026-09-30</t>
  </si>
  <si>
    <t>Clanify Media Private Limited</t>
  </si>
  <si>
    <t>TTSPL7487 2026-09-20&gt;2026-09-30</t>
  </si>
  <si>
    <t>EasyRewardz Software Services Private Limited</t>
  </si>
  <si>
    <t>TTSPL5385 2026-09-27&gt;2026-09-30, TTSPL5389 2026-09-27&gt;2026-09-30</t>
  </si>
  <si>
    <t>TTSPL6580 2026-09-24&gt;2026-09-30, TTSPL6403 2026-09-30&gt;2026-09-30</t>
  </si>
  <si>
    <t>TTSPL4432 2026-09-25&gt;2026-09-30</t>
  </si>
  <si>
    <t>NPREP EDTECH PRIVATE LIMITED</t>
  </si>
  <si>
    <t>TTSPL7631 2026-09-25&gt;2026-09-30</t>
  </si>
  <si>
    <t>TTSPL4677 2026-09-25&gt;2026-09-30, TTSPL2950 2026-09-29&gt;2026-09-30, TTSPL3050 2026-09-29&gt;2026-09-30</t>
  </si>
  <si>
    <t>TTSPL1972 2026-09-22&gt;2026-09-30</t>
  </si>
  <si>
    <t>Dotnova Aitech Private Limited</t>
  </si>
  <si>
    <t>ASL GLOBAL ADVISORS PRIVATE LIMITED</t>
  </si>
  <si>
    <t>TTSPL4824 2026-09-29&gt;2026-09-30</t>
  </si>
  <si>
    <t>TTSPL6926 2026-09-30&gt;2026-09-30</t>
  </si>
  <si>
    <t>CARRUM MOBILITY SOLUTIONS PRIVATE LIMITED(HR)</t>
  </si>
  <si>
    <t>TTSPL6307 2026-09-29&gt;2026-09-30</t>
  </si>
  <si>
    <t>DELPHI INFOTECH PRIVATE LIMITED</t>
  </si>
  <si>
    <t>TTSPL5315 2026-09-29&gt;2026-09-30</t>
  </si>
  <si>
    <t>TTSPL1783 2026-09-30&gt;2026-09-30</t>
  </si>
  <si>
    <t>D. Customers the run skips (no active rental)</t>
  </si>
  <si>
    <t>OEX TECH SOLUTION PVT. LTD</t>
  </si>
  <si>
    <t>Reason</t>
  </si>
  <si>
    <t>No active rental laptops</t>
  </si>
  <si>
    <t>PETTLE PET SERVICES PRIVATE LIMITED</t>
  </si>
  <si>
    <t>Global Fashion Off Duty Limited</t>
  </si>
  <si>
    <t>ALLYVENTURE (INDIA) PRIVATE LIMITED</t>
  </si>
  <si>
    <t>REYKLE INDIA PRIVATE LIMITED</t>
  </si>
  <si>
    <t>CARRUM MOBILITY SOLUTIONS PRIVATE LIMITED(DL)</t>
  </si>
  <si>
    <t>E. Settled today (30 Sep)</t>
  </si>
  <si>
    <t>Item</t>
  </si>
  <si>
    <t>What was done</t>
  </si>
  <si>
    <t>TTSPL5452, 7540, 4405, 4837</t>
  </si>
  <si>
    <t>Not going back: rent ends at warehouse receipt; credits CN-0259, CN-0258, CN-0288, CN-0287</t>
  </si>
  <si>
    <t>TTSPL3203, 7344, 7463 (Pibit)</t>
  </si>
  <si>
    <t>Changed repair to return; CN-0280 credits 25–30 Sep</t>
  </si>
  <si>
    <t>Hostbooks limited</t>
  </si>
  <si>
    <t>TTSPL7002 (Tagbin)</t>
  </si>
  <si>
    <t>Returned 7 Sep; the run creates the 8–30 Sep credit (Rs 2,222.57)</t>
  </si>
  <si>
    <t>TTSPL4114</t>
  </si>
  <si>
    <t>Checked: repaired and delivered back 8 Aug — billing is correct</t>
  </si>
  <si>
    <t>RAK Fitness Consumer Private Limited</t>
  </si>
  <si>
    <t>Code d7b166cf</t>
  </si>
  <si>
    <t>Repair ticket closed without Service DC ends rent at warehouse receipt</t>
  </si>
  <si>
    <t>Code ef47d54a</t>
  </si>
  <si>
    <t>Out for Repair page lists only laptops at a vendor</t>
  </si>
  <si>
    <t>CDBASE SOLUTIONS INDIA PRIVATE LIMITED</t>
  </si>
  <si>
    <t>Indicold Private Limited (HR)</t>
  </si>
  <si>
    <t>URBANLOGIX GLOBAL INDIA PRIVATE LIMITED</t>
  </si>
  <si>
    <t>TECHSUR INNOVATIONS PRIVATE LIMITED</t>
  </si>
  <si>
    <t>DELFIN TECHNOLOGIES INDIA PRIVATE LIMITED</t>
  </si>
  <si>
    <t>ATTITUDE EVENTS PRIVATE LIMITED</t>
  </si>
  <si>
    <t>Kuruma Travels Private Limited</t>
  </si>
  <si>
    <t>MNR Solutions Pvt. Ltd.</t>
  </si>
  <si>
    <t>HYREKART INFRA INDIA PRIVATE LIMITED</t>
  </si>
  <si>
    <t>PEOPLE STAFFING SOLUTIONS</t>
  </si>
  <si>
    <t>BPB Online LLP</t>
  </si>
  <si>
    <t>QUREX HEALTH PRIVATE LIMITED</t>
  </si>
  <si>
    <t>EVENTIVE COMMUNICATIONS LLP</t>
  </si>
  <si>
    <t>PAS DIGITAL PRIVATE LIMITED</t>
  </si>
  <si>
    <t>KULSYS TECHNOLOGIES PRIVATE LIMITED</t>
  </si>
  <si>
    <t>EPIC (INDIA) TOURS AND EVENTS PRIVATE LIMITED</t>
  </si>
  <si>
    <t>SCALE BUSINESS SERVICES PRIVATE LIMITED</t>
  </si>
  <si>
    <t>SARTHHAKAI PRIVATE LIMITED</t>
  </si>
  <si>
    <t>CERTIFICATION EDUCATION PROVIDERS PRIVATE LIMITED</t>
  </si>
  <si>
    <t>IMSUCCESS PRIVATE LIMITED</t>
  </si>
  <si>
    <t>ROADEXPRESS TECHNOLOGY PRIVATE LIMITED</t>
  </si>
  <si>
    <t>GOZO TECHNOLOGIES PVT LTD</t>
  </si>
  <si>
    <t>GODASH SOLUTIONS PRIVATE LIMITED</t>
  </si>
  <si>
    <t>Town Contact Technologies Private Limited</t>
  </si>
  <si>
    <t>EXIMPLE TECHNOLOGIES PRIVATE LIMITED</t>
  </si>
  <si>
    <t>SAAN GLOBAL LIMITED</t>
  </si>
  <si>
    <t>Digital Nirvana Information Systems Pvt Ltd</t>
  </si>
  <si>
    <t>ALL INDIA ASIAN EDUCATIONAL FOUNDATION</t>
  </si>
  <si>
    <t>ELEVONDATA LABS PRIVATE LIMITED</t>
  </si>
  <si>
    <t xml:space="preserve"> CoreOps.AI</t>
  </si>
  <si>
    <t>Shreyas Management Consulting Services</t>
  </si>
  <si>
    <t>IIOT INNOVATION PRIVATE LIMITED</t>
  </si>
  <si>
    <t>SHINENPRIME HEALTHCARE PRIVATE LIMITED</t>
  </si>
  <si>
    <t>Trip Hunter</t>
  </si>
  <si>
    <t>Maxlence Digital (OPC) Private Limited</t>
  </si>
  <si>
    <t>WICK AUTOMATION LLP</t>
  </si>
  <si>
    <t>Alpha Rites</t>
  </si>
  <si>
    <t>Girish Srikrishna Paranjpe</t>
  </si>
  <si>
    <t>CARRUM MOBILITY SOLUTIONS PRIVATE LIMITED(TS)</t>
  </si>
  <si>
    <t>E N COMMUNICATION PRIVATE LIMITED</t>
  </si>
  <si>
    <t>Aim Plus Staffing Solutions</t>
  </si>
  <si>
    <t>QUICKREPLY TECHNOLOGIES INDIA PRIVATE LIMITED</t>
  </si>
  <si>
    <t>PPG ASIAN PAINTS PRIVATE LIMITED</t>
  </si>
  <si>
    <t>postpaid</t>
  </si>
  <si>
    <t>Sturmfrei Hospitality Pvt. Ltd</t>
  </si>
  <si>
    <t>ISCREENING SERVICES PRIVATE LIMITED</t>
  </si>
  <si>
    <t>KHUSHI HOUSING SOLUTIONS PRIVATE LIMITED</t>
  </si>
  <si>
    <t>24X7 STORE PRIVATE LIMITED</t>
  </si>
  <si>
    <t>Benchkart Services Private Limited</t>
  </si>
  <si>
    <t>COSMO BRANDS PRIVATE LIMITED</t>
  </si>
  <si>
    <t>Prisha Insurance Brokers Pvt Ltd</t>
  </si>
  <si>
    <t>SINGULARITY GAMES PRIVATE LIMITED</t>
  </si>
  <si>
    <t>EVERSOFT TECHNOLOGIES PRIVATE LIMITED</t>
  </si>
  <si>
    <t>TRUE BUSINESS MINDS PRIVATE LIMITED</t>
  </si>
  <si>
    <t>DAWNSUN EXIM CORPORATION</t>
  </si>
  <si>
    <t>VIRALCURRY DIGITAL PRIVATE LIMITED</t>
  </si>
  <si>
    <t>TENSOR LOGISTICS PRIVATE LIMITED</t>
  </si>
  <si>
    <t>SAATHI WORLDAPP PRIVATE LIMITED</t>
  </si>
  <si>
    <t>WSB PROJECTS PRIVATE LIMITED</t>
  </si>
  <si>
    <t>Scoopalicious (OPC) Private limited</t>
  </si>
  <si>
    <t>V6 SKIN CLINIC PRIVATE LIMITED</t>
  </si>
  <si>
    <t>SBNRI TECHNOLOGIES PRIVATE LIMITED (HR)</t>
  </si>
  <si>
    <t>86 AGENCY</t>
  </si>
  <si>
    <t>OPERISOFT TECHNOLOGIES PRIVATE LIMITED</t>
  </si>
  <si>
    <t>LRZ INNOVATIONS PRIVATE LIMITED</t>
  </si>
  <si>
    <t>RealVibe digital media pvt ltd</t>
  </si>
  <si>
    <t>JUVENTAS CLOTHING TECHNOLOGIES PRIVATE LIMITED</t>
  </si>
  <si>
    <t>Youbooks Edtech India Pvt. Ltd.</t>
  </si>
  <si>
    <t>NECTAR INFOTEL SOLUTIONS PRIVATE LIMITED</t>
  </si>
  <si>
    <t>TECH TALENT CONSULTING INDIA PRIVATE LIMITED</t>
  </si>
  <si>
    <t>Rangreza Retail Services Pvt Ltd</t>
  </si>
  <si>
    <t>FROSTPRIME LOGISTICS LLP</t>
  </si>
  <si>
    <t>SOM PRO FACILITIES INDIA PRIVATE LIMITED</t>
  </si>
  <si>
    <t>URBANETEK INSURANCE BROKING PRIVATE LIMITED</t>
  </si>
  <si>
    <t>ARAGON METAL TRADERS</t>
  </si>
  <si>
    <t>SYNERGY SOFTWARES LIMITED</t>
  </si>
  <si>
    <t>Inaya Realty</t>
  </si>
  <si>
    <t>Flights Mojo Bookings Private Limited</t>
  </si>
  <si>
    <t>MERITSHOT ZETTA EDUTECH PRIVATE LIMITED</t>
  </si>
  <si>
    <t>ICHELON CONSULTING GROUP</t>
  </si>
  <si>
    <t>Aamore solutions</t>
  </si>
  <si>
    <t>EXOTALENT CONSULTANCY SERVICES LLP</t>
  </si>
  <si>
    <t>DAWNSUN KYOSEI ENGINEERING PRIVATE LIMITED</t>
  </si>
  <si>
    <t>DREESHTI AIRTECH SOLUTIONS PRIVATE LIMITED</t>
  </si>
  <si>
    <t>MANTARAV PRIVATE LIMITED</t>
  </si>
  <si>
    <t>RISK EDUCATORS PRIVATE LIMITED</t>
  </si>
  <si>
    <t>ENCUBATE TECH PRIVATE LIMITED</t>
  </si>
  <si>
    <t>WedMeGood</t>
  </si>
  <si>
    <t>UNITOP HOSPITALITY</t>
  </si>
  <si>
    <t>LEARNINGPAD EDUCATION SOLUTIONS PRIVATE LIMITED</t>
  </si>
  <si>
    <t>Auraa Coordination &amp; Productions Pvt Ltd</t>
  </si>
  <si>
    <t>Power Parts Pvt. Ltd.</t>
  </si>
  <si>
    <t>TSCX CONSULTING PRIVATE LIMITED</t>
  </si>
  <si>
    <t>BERGEN ASSOCIATES PVT LTD.</t>
  </si>
  <si>
    <t>DIGEESELL MEDIA SOLUTIONS PRIVATE LIMITED</t>
  </si>
  <si>
    <t>VINCIT TECHNOLOGIES PVT LTD</t>
  </si>
  <si>
    <t>DASH AST TECHNOLOGY LLP</t>
  </si>
  <si>
    <t>Clickonik Digital Private Limited</t>
  </si>
  <si>
    <t>INFISWIFT TECHNOLOGIES PRIVATE LIMITED</t>
  </si>
  <si>
    <t>B2C (Naveen Verma)</t>
  </si>
  <si>
    <t>IN KNOW TECH PRIVATE LIMITED</t>
  </si>
  <si>
    <t>ENHANCED WAPP SYSTEMS INDIA PRIVATE LIMITED (HR)</t>
  </si>
  <si>
    <t>Talent Skillsvarsity Private Limited</t>
  </si>
  <si>
    <t>AGILE VENTURES PRIVATE LIMITED</t>
  </si>
  <si>
    <t>Dipanshu Mutreja</t>
  </si>
  <si>
    <t>Max LT Technologies</t>
  </si>
  <si>
    <t>Accelerate Media Private Limited</t>
  </si>
  <si>
    <t>United precision Cast</t>
  </si>
  <si>
    <t>AA Consultant</t>
  </si>
  <si>
    <t>SPRINGWELL MATTRESSES PRIVATE LIMITED</t>
  </si>
  <si>
    <t>KV HUMAN RESOURCES SERVICES PRIVATE LIMITED</t>
  </si>
  <si>
    <t>Transcending Horizons Private Limited</t>
  </si>
  <si>
    <t>(skipped)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</si>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</sst>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;-"/>
  </numFmts>
  <fonts count="9">
    <font>
      <sz val="11.0"/>
      <color theme="1"/>
      <name val="Calibri"/>
      <scheme val="minor"/>
    </font>
    <font>
      <b/>
      <sz val="13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i/>
      <sz val="10.0"/>
      <color rgb="FF808080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shrinkToFit="0" vertical="top" wrapText="1"/>
    </xf>
    <xf borderId="0" fillId="0" fontId="5" numFmtId="0" xfId="0" applyFont="1"/>
    <xf borderId="1" fillId="2" fontId="6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shrinkToFit="0" vertical="top" wrapText="1"/>
    </xf>
    <xf borderId="0" fillId="0" fontId="4" numFmtId="164" xfId="0" applyFont="1" applyNumberFormat="1"/>
    <xf borderId="1" fillId="0" fontId="3" numFmtId="164" xfId="0" applyAlignment="1" applyBorder="1" applyFont="1" applyNumberFormat="1">
      <alignment shrinkToFit="0" vertical="top" wrapText="1"/>
    </xf>
    <xf borderId="0" fillId="0" fontId="7" numFmtId="0" xfId="0" applyFont="1"/>
    <xf borderId="1" fillId="2" fontId="6" numFmtId="0" xfId="0" applyBorder="1" applyFill="1" applyFont="1"/>
    <xf borderId="1" fillId="0" fontId="3" numFmtId="0" xfId="0" applyBorder="1" applyFont="1"/>
    <xf borderId="1" fillId="3" fontId="3" numFmtId="0" xfId="0" applyAlignment="1" applyBorder="1" applyFill="1" applyFont="1">
      <alignment readingOrder="0"/>
    </xf>
    <xf borderId="1" fillId="3" fontId="3" numFmtId="0" xfId="0" applyBorder="1" applyFill="1" applyFont="1"/>
    <xf borderId="1" fillId="0" fontId="3" numFmtId="164" xfId="0" applyBorder="1" applyFont="1" applyNumberFormat="1"/>
    <xf borderId="1" fillId="4" fontId="3" numFmtId="0" xfId="0" applyBorder="1" applyFill="1" applyFont="1"/>
    <xf borderId="0" fillId="0" fontId="3" numFmtId="0" xfId="0" applyAlignment="1" applyFont="1">
      <alignment readingOrder="0"/>
    </xf>
    <xf borderId="1" fillId="2" fontId="6" numFmtId="0" xfId="0" applyAlignment="1" applyBorder="1" applyFill="1" applyFont="1">
      <alignment shrinkToFit="0" wrapText="1"/>
    </xf>
    <xf borderId="0" fillId="0" fontId="8" numFmtId="0" xfId="0" applyFont="1"/>
    <xf borderId="1" fillId="0" fontId="4" numFmtId="3" xfId="0" applyBorder="1" applyFont="1" applyNumberFormat="1"/>
    <xf borderId="1" fillId="0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8.0"/>
    <col customWidth="1" min="3" max="3" width="62.0"/>
    <col customWidth="1" min="4" max="4" width="8.0"/>
    <col customWidth="1" min="5" max="5" width="14.0"/>
    <col customWidth="1" min="6" max="6" width="12.0"/>
    <col customWidth="1" min="7" max="7" width="14.0"/>
    <col customWidth="1" min="8" max="26" width="8.71"/>
  </cols>
  <sheetData>
    <row r="1">
      <c r="A1" s="2" t="s">
        <v>1</v>
      </c>
      <c r="B1" s="3"/>
      <c r="C1" s="3"/>
      <c r="D1" s="3"/>
      <c r="E1" s="3"/>
      <c r="F1" s="3"/>
      <c r="G1" s="3"/>
    </row>
    <row r="2">
      <c r="A2" s="3" t="s">
        <v>4</v>
      </c>
      <c r="B2" s="3"/>
      <c r="C2" s="3"/>
      <c r="D2" s="3"/>
      <c r="E2" s="3"/>
      <c r="F2" s="3"/>
      <c r="G2" s="3"/>
    </row>
    <row r="3">
      <c r="A3" s="3"/>
      <c r="B3" s="3"/>
      <c r="C3" s="3"/>
      <c r="D3" s="3"/>
      <c r="E3" s="3"/>
      <c r="F3" s="3"/>
      <c r="G3" s="3"/>
    </row>
    <row r="4">
      <c r="A4" s="6" t="s">
        <v>8</v>
      </c>
      <c r="B4" s="3"/>
      <c r="C4" s="4">
        <v>207.0</v>
      </c>
      <c r="D4" s="3"/>
      <c r="E4" s="3"/>
      <c r="F4" s="3"/>
      <c r="G4" s="3"/>
    </row>
    <row r="5">
      <c r="A5" s="6" t="s">
        <v>12</v>
      </c>
      <c r="B5" s="3"/>
      <c r="C5" s="4">
        <v>199.0</v>
      </c>
      <c r="D5" s="3"/>
      <c r="E5" s="3"/>
      <c r="F5" s="3"/>
      <c r="G5" s="3"/>
    </row>
    <row r="6">
      <c r="A6" s="6" t="s">
        <v>17</v>
      </c>
      <c r="B6" s="3"/>
      <c r="C6" s="4">
        <v>3086.0</v>
      </c>
      <c r="D6" s="3"/>
      <c r="E6" s="3"/>
      <c r="F6" s="3"/>
      <c r="G6" s="3"/>
    </row>
    <row r="7">
      <c r="A7" s="6" t="s">
        <v>18</v>
      </c>
      <c r="B7" s="3"/>
      <c r="C7" s="4">
        <v>3080.0</v>
      </c>
      <c r="D7" s="3"/>
      <c r="E7" s="3"/>
      <c r="F7" s="3"/>
      <c r="G7" s="3"/>
    </row>
    <row r="8">
      <c r="A8" s="6" t="s">
        <v>20</v>
      </c>
      <c r="B8" s="3"/>
      <c r="C8" s="4">
        <v>6.0</v>
      </c>
      <c r="D8" s="3"/>
      <c r="E8" s="3"/>
      <c r="F8" s="3"/>
      <c r="G8" s="3"/>
    </row>
    <row r="9">
      <c r="A9" s="6" t="s">
        <v>22</v>
      </c>
      <c r="B9" s="3"/>
      <c r="C9" s="10">
        <f>'October preview'!J212</f>
        <v>7972997.2</v>
      </c>
      <c r="D9" s="3"/>
      <c r="E9" s="3"/>
      <c r="F9" s="3"/>
      <c r="G9" s="3"/>
    </row>
    <row r="10">
      <c r="A10" s="6" t="s">
        <v>61</v>
      </c>
      <c r="B10" s="3"/>
      <c r="C10" s="10">
        <v>96606.46</v>
      </c>
      <c r="D10" s="12" t="s">
        <v>62</v>
      </c>
      <c r="E10" s="3"/>
      <c r="F10" s="3"/>
      <c r="G10" s="3"/>
    </row>
    <row r="11">
      <c r="A11" s="3"/>
      <c r="B11" s="3"/>
      <c r="C11" s="3"/>
      <c r="D11" s="3"/>
      <c r="E11" s="3"/>
      <c r="F11" s="3"/>
      <c r="G11" s="3"/>
    </row>
    <row r="12">
      <c r="A12" s="13" t="s">
        <v>64</v>
      </c>
      <c r="B12" s="13" t="s">
        <v>67</v>
      </c>
      <c r="C12" s="13" t="s">
        <v>68</v>
      </c>
      <c r="D12" s="13" t="s">
        <v>69</v>
      </c>
      <c r="E12" s="13" t="s">
        <v>70</v>
      </c>
      <c r="F12" s="13" t="s">
        <v>72</v>
      </c>
      <c r="G12" s="13" t="s">
        <v>73</v>
      </c>
    </row>
    <row r="13">
      <c r="A13" s="14" t="s">
        <v>74</v>
      </c>
      <c r="B13" s="14" t="s">
        <v>75</v>
      </c>
      <c r="C13" s="14" t="s">
        <v>77</v>
      </c>
      <c r="D13" s="14">
        <f>COUNTA('Q1 PPG postpaid'!A7:A8)</f>
        <v>2</v>
      </c>
      <c r="E13" s="17" t="s">
        <v>87</v>
      </c>
      <c r="F13" s="14" t="str">
        <f>COUNTA('Q1 PPG postpaid'!I7:I8)&amp;" of "&amp;COUNTA('Q1 PPG postpaid'!A7:A8)</f>
        <v>2 of 2</v>
      </c>
      <c r="G13" s="18" t="s">
        <v>103</v>
      </c>
    </row>
    <row r="14">
      <c r="A14" s="14" t="s">
        <v>106</v>
      </c>
      <c r="B14" s="14" t="s">
        <v>107</v>
      </c>
      <c r="C14" s="14" t="s">
        <v>110</v>
      </c>
      <c r="D14" s="14">
        <f>COUNTA('Q2 TTSPL3059'!A7)</f>
        <v>1</v>
      </c>
      <c r="E14" s="17">
        <f>SUM('Q2 TTSPL3059'!I7)</f>
        <v>38000</v>
      </c>
      <c r="F14" s="14" t="str">
        <f>COUNTA('Q2 TTSPL3059'!J7)&amp;" of "&amp;COUNTA('Q2 TTSPL3059'!A7)</f>
        <v>1 of 1</v>
      </c>
      <c r="G14" s="18" t="s">
        <v>103</v>
      </c>
    </row>
    <row r="15">
      <c r="A15" s="14" t="s">
        <v>136</v>
      </c>
      <c r="B15" s="14" t="s">
        <v>137</v>
      </c>
      <c r="C15" s="14" t="s">
        <v>138</v>
      </c>
      <c r="D15" s="14">
        <f>COUNTA('Q3 Credits kept'!A7:A42)</f>
        <v>36</v>
      </c>
      <c r="E15" s="17">
        <f>SUM('Q3 Credits kept'!J7:J42)</f>
        <v>73198.64</v>
      </c>
      <c r="F15" s="14" t="str">
        <f>COUNTA('Q3 Credits kept'!K7:K42)&amp;" of "&amp;COUNTA('Q3 Credits kept'!A7:A42)</f>
        <v>36 of 36</v>
      </c>
      <c r="G15" s="18" t="s">
        <v>103</v>
      </c>
    </row>
    <row r="16">
      <c r="A16" s="14" t="s">
        <v>147</v>
      </c>
      <c r="B16" s="14" t="s">
        <v>149</v>
      </c>
      <c r="C16" s="14" t="s">
        <v>153</v>
      </c>
      <c r="D16" s="14">
        <f>COUNTA('Q4 Credits cancel'!A7:A12)</f>
        <v>6</v>
      </c>
      <c r="E16" s="17">
        <f>SUM('Q4 Credits cancel'!F7:F12)</f>
        <v>854.54</v>
      </c>
      <c r="F16" s="14" t="str">
        <f>COUNTA('Q4 Credits cancel'!H7:H12)&amp;" of "&amp;COUNTA('Q4 Credits cancel'!A7:A12)</f>
        <v>6 of 6</v>
      </c>
      <c r="G16" s="18" t="s">
        <v>103</v>
      </c>
    </row>
    <row r="17">
      <c r="A17" s="14" t="s">
        <v>170</v>
      </c>
      <c r="B17" s="14" t="s">
        <v>171</v>
      </c>
      <c r="C17" s="14" t="s">
        <v>172</v>
      </c>
      <c r="D17" s="14">
        <f>COUNTA('Q5 TTSPL3450'!A7)</f>
        <v>1</v>
      </c>
      <c r="E17" s="17">
        <f>SUM('Q5 TTSPL3450'!G7)</f>
        <v>1380</v>
      </c>
      <c r="F17" s="14" t="str">
        <f>COUNTA('Q5 TTSPL3450'!H7)&amp;" of "&amp;COUNTA('Q5 TTSPL3450'!A7)</f>
        <v>0 of 1</v>
      </c>
      <c r="G17" s="14" t="s">
        <v>176</v>
      </c>
    </row>
    <row r="18">
      <c r="A18" s="14" t="s">
        <v>177</v>
      </c>
      <c r="B18" s="14" t="s">
        <v>178</v>
      </c>
      <c r="C18" s="14" t="s">
        <v>180</v>
      </c>
      <c r="D18" s="14">
        <f>COUNTA('Q6 Credit over bill'!A7:A9)</f>
        <v>3</v>
      </c>
      <c r="E18" s="17">
        <f>SUM('Q6 Credit over bill'!E7:E9)</f>
        <v>3923.8</v>
      </c>
      <c r="F18" s="14" t="str">
        <f>COUNTA('Q6 Credit over bill'!F7:F9)&amp;" of "&amp;COUNTA('Q6 Credit over bill'!A7:A9)</f>
        <v>0 of 3</v>
      </c>
      <c r="G18" s="14" t="s">
        <v>176</v>
      </c>
    </row>
    <row r="19">
      <c r="A19" s="14" t="s">
        <v>193</v>
      </c>
      <c r="B19" s="14" t="s">
        <v>194</v>
      </c>
      <c r="C19" s="14" t="s">
        <v>195</v>
      </c>
      <c r="D19" s="14">
        <f>COUNTA('Q7 Not billed'!A7:A12)</f>
        <v>6</v>
      </c>
      <c r="E19" s="17" t="s">
        <v>87</v>
      </c>
      <c r="F19" s="14" t="str">
        <f>COUNTA('Q7 Not billed'!H7:H12)&amp;" of "&amp;COUNTA('Q7 Not billed'!A7:A12)</f>
        <v>0 of 6</v>
      </c>
      <c r="G19" s="14" t="s">
        <v>176</v>
      </c>
    </row>
    <row r="20">
      <c r="A20" s="14" t="s">
        <v>205</v>
      </c>
      <c r="B20" s="14" t="s">
        <v>206</v>
      </c>
      <c r="C20" s="14" t="s">
        <v>207</v>
      </c>
      <c r="D20" s="14">
        <f>COUNTA('Q8 Rs1 laptops'!A7:A31)</f>
        <v>25</v>
      </c>
      <c r="E20" s="17" t="s">
        <v>87</v>
      </c>
      <c r="F20" s="14" t="str">
        <f>COUNTA('Q8 Rs1 laptops'!F7:F31)&amp;" of "&amp;COUNTA('Q8 Rs1 laptops'!A7:A31)</f>
        <v>0 of 25</v>
      </c>
      <c r="G20" s="14" t="s">
        <v>176</v>
      </c>
    </row>
    <row r="21" ht="15.75" customHeight="1">
      <c r="A21" s="14" t="s">
        <v>222</v>
      </c>
      <c r="B21" s="14" t="s">
        <v>223</v>
      </c>
      <c r="C21" s="14" t="s">
        <v>224</v>
      </c>
      <c r="D21" s="14">
        <f>COUNTA('Q9 Rates'!A7:A9)</f>
        <v>3</v>
      </c>
      <c r="E21" s="17" t="s">
        <v>87</v>
      </c>
      <c r="F21" s="14" t="str">
        <f>COUNTA('Q9 Rates'!G7:G9)&amp;" of "&amp;COUNTA('Q9 Rates'!A7:A9)</f>
        <v>3 of 3</v>
      </c>
      <c r="G21" s="14" t="s">
        <v>176</v>
      </c>
    </row>
    <row r="22" ht="15.75" customHeight="1">
      <c r="A22" s="14" t="s">
        <v>229</v>
      </c>
      <c r="B22" s="14" t="s">
        <v>231</v>
      </c>
      <c r="C22" s="14" t="s">
        <v>233</v>
      </c>
      <c r="D22" s="14">
        <f>COUNTA('Q10 GSTIN'!A7:A16)</f>
        <v>10</v>
      </c>
      <c r="E22" s="17" t="s">
        <v>87</v>
      </c>
      <c r="F22" s="14" t="str">
        <f>COUNTA('Q10 GSTIN'!F7:F16)&amp;" of "&amp;COUNTA('Q10 GSTIN'!A7:A16)</f>
        <v>0 of 10</v>
      </c>
      <c r="G22" s="14" t="s">
        <v>176</v>
      </c>
    </row>
    <row r="23" ht="15.75" customHeight="1">
      <c r="A23" s="14" t="s">
        <v>243</v>
      </c>
      <c r="B23" s="14" t="s">
        <v>244</v>
      </c>
      <c r="C23" s="14" t="s">
        <v>245</v>
      </c>
      <c r="D23" s="14">
        <f>COUNTA('Q11 Old repairs'!A7:A10)</f>
        <v>4</v>
      </c>
      <c r="E23" s="17" t="s">
        <v>87</v>
      </c>
      <c r="F23" s="14" t="str">
        <f>COUNTA('Q11 Old repairs'!G7:G10)&amp;" of "&amp;COUNTA('Q11 Old repairs'!A7:A10)</f>
        <v>4 of 4</v>
      </c>
      <c r="G23" s="14" t="s">
        <v>176</v>
      </c>
    </row>
    <row r="24" ht="15.75" customHeight="1">
      <c r="A24" s="3"/>
      <c r="B24" s="3"/>
      <c r="C24" s="3"/>
      <c r="D24" s="3"/>
      <c r="E24" s="3"/>
      <c r="F24" s="3"/>
      <c r="G24" s="3"/>
    </row>
    <row r="25" ht="31.5" customHeight="1">
      <c r="A25" s="5" t="s">
        <v>246</v>
      </c>
    </row>
    <row r="26" ht="31.5" customHeight="1">
      <c r="A26" s="5" t="s">
        <v>247</v>
      </c>
    </row>
    <row r="27" ht="31.5" customHeight="1">
      <c r="A27" s="5" t="s">
        <v>248</v>
      </c>
    </row>
    <row r="28" ht="31.5" customHeight="1">
      <c r="A28" s="5" t="s">
        <v>249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5:G25"/>
    <mergeCell ref="A26:G26"/>
    <mergeCell ref="A27:G27"/>
    <mergeCell ref="A28:G2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9.0"/>
    <col customWidth="1" min="4" max="5" width="12.0"/>
    <col customWidth="1" min="6" max="6" width="14.0"/>
    <col customWidth="1" min="7" max="7" width="15.0"/>
    <col customWidth="1" min="8" max="8" width="60.0"/>
    <col customWidth="1" min="9" max="9" width="22.0"/>
    <col customWidth="1" min="10" max="10" width="30.0"/>
    <col customWidth="1" min="11" max="26" width="8.71"/>
  </cols>
  <sheetData>
    <row r="1">
      <c r="A1" s="1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13</v>
      </c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19</v>
      </c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31</v>
      </c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28</v>
      </c>
      <c r="B6" s="7" t="s">
        <v>55</v>
      </c>
      <c r="C6" s="7" t="s">
        <v>29</v>
      </c>
      <c r="D6" s="7" t="s">
        <v>56</v>
      </c>
      <c r="E6" s="7" t="s">
        <v>57</v>
      </c>
      <c r="F6" s="7" t="s">
        <v>58</v>
      </c>
      <c r="G6" s="7" t="s">
        <v>59</v>
      </c>
      <c r="H6" s="7" t="s">
        <v>60</v>
      </c>
      <c r="I6" s="8" t="s">
        <v>14</v>
      </c>
      <c r="J6" s="8" t="s">
        <v>40</v>
      </c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63</v>
      </c>
      <c r="B7" s="9">
        <v>7.0</v>
      </c>
      <c r="C7" s="9" t="s">
        <v>51</v>
      </c>
      <c r="D7" s="9" t="s">
        <v>65</v>
      </c>
      <c r="E7" s="9" t="s">
        <v>66</v>
      </c>
      <c r="F7" s="11">
        <v>20985.0</v>
      </c>
      <c r="G7" s="11">
        <v>24762.3</v>
      </c>
      <c r="H7" s="9" t="s">
        <v>71</v>
      </c>
      <c r="I7" s="15" t="s">
        <v>79</v>
      </c>
      <c r="J7" s="16"/>
      <c r="K7" s="3"/>
      <c r="L7" s="3"/>
      <c r="M7" s="3"/>
      <c r="N7" s="3"/>
      <c r="O7" s="3"/>
      <c r="P7" s="3"/>
      <c r="Q7" s="3"/>
      <c r="R7" s="3"/>
      <c r="S7" s="3"/>
    </row>
    <row r="8">
      <c r="A8" s="9" t="s">
        <v>83</v>
      </c>
      <c r="B8" s="9">
        <v>9.0</v>
      </c>
      <c r="C8" s="9" t="s">
        <v>51</v>
      </c>
      <c r="D8" s="9" t="s">
        <v>86</v>
      </c>
      <c r="E8" s="9" t="s">
        <v>88</v>
      </c>
      <c r="F8" s="11">
        <v>19676.25</v>
      </c>
      <c r="G8" s="11">
        <v>23217.97</v>
      </c>
      <c r="H8" s="9" t="s">
        <v>89</v>
      </c>
      <c r="I8" s="15" t="s">
        <v>79</v>
      </c>
      <c r="J8" s="16"/>
      <c r="K8" s="3"/>
      <c r="L8" s="3"/>
      <c r="M8" s="3"/>
      <c r="N8" s="3"/>
      <c r="O8" s="3"/>
      <c r="P8" s="3"/>
      <c r="Q8" s="3"/>
      <c r="R8" s="3"/>
      <c r="S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J2"/>
    <mergeCell ref="B3:J3"/>
    <mergeCell ref="B4:J4"/>
  </mergeCells>
  <dataValidations>
    <dataValidation type="list" allowBlank="1" sqref="I7:I8">
      <formula1>"Issued in Zoho - mark sent,Not issued - leave"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4" width="15.0"/>
    <col customWidth="1" min="5" max="5" width="10.0"/>
    <col customWidth="1" min="6" max="6" width="14.0"/>
    <col customWidth="1" min="7" max="8" width="16.0"/>
    <col customWidth="1" min="9" max="9" width="12.0"/>
    <col customWidth="1" min="10" max="10" width="22.0"/>
    <col customWidth="1" min="11" max="11" width="30.0"/>
    <col customWidth="1" min="12" max="26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7</v>
      </c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11</v>
      </c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16</v>
      </c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23</v>
      </c>
      <c r="B6" s="7" t="s">
        <v>24</v>
      </c>
      <c r="C6" s="7" t="s">
        <v>25</v>
      </c>
      <c r="D6" s="7" t="s">
        <v>27</v>
      </c>
      <c r="E6" s="7" t="s">
        <v>29</v>
      </c>
      <c r="F6" s="7" t="s">
        <v>33</v>
      </c>
      <c r="G6" s="7" t="s">
        <v>35</v>
      </c>
      <c r="H6" s="7" t="s">
        <v>37</v>
      </c>
      <c r="I6" s="7" t="s">
        <v>39</v>
      </c>
      <c r="J6" s="8" t="s">
        <v>14</v>
      </c>
      <c r="K6" s="8" t="s">
        <v>40</v>
      </c>
      <c r="L6" s="3"/>
      <c r="M6" s="3"/>
      <c r="N6" s="3"/>
      <c r="O6" s="3"/>
      <c r="P6" s="3"/>
      <c r="Q6" s="3"/>
      <c r="R6" s="3"/>
      <c r="S6" s="3"/>
    </row>
    <row r="7">
      <c r="A7" s="9" t="s">
        <v>42</v>
      </c>
      <c r="B7" s="9" t="s">
        <v>44</v>
      </c>
      <c r="C7" s="9" t="s">
        <v>46</v>
      </c>
      <c r="D7" s="9" t="s">
        <v>48</v>
      </c>
      <c r="E7" s="9" t="s">
        <v>50</v>
      </c>
      <c r="F7" s="11">
        <v>20000.0</v>
      </c>
      <c r="G7" s="11">
        <v>18000.0</v>
      </c>
      <c r="H7" s="11">
        <v>20000.0</v>
      </c>
      <c r="I7" s="11">
        <f>G7+H7</f>
        <v>38000</v>
      </c>
      <c r="J7" s="15" t="s">
        <v>78</v>
      </c>
      <c r="K7" s="16"/>
      <c r="L7" s="3"/>
      <c r="M7" s="3"/>
      <c r="N7" s="3"/>
      <c r="O7" s="3"/>
      <c r="P7" s="3"/>
      <c r="Q7" s="3"/>
      <c r="R7" s="3"/>
      <c r="S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K2"/>
    <mergeCell ref="B3:K3"/>
    <mergeCell ref="B4:K4"/>
  </mergeCells>
  <dataValidations>
    <dataValidation type="list" allowBlank="1" sqref="J7">
      <formula1>"Yes - mark sold,No - it is a rental"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32.0"/>
    <col customWidth="1" min="3" max="3" width="11.0"/>
    <col customWidth="1" min="4" max="4" width="12.0"/>
    <col customWidth="1" min="5" max="5" width="10.0"/>
    <col customWidth="1" min="6" max="6" width="9.0"/>
    <col customWidth="1" min="7" max="7" width="12.0"/>
    <col customWidth="1" min="8" max="9" width="24.0"/>
    <col customWidth="1" min="10" max="10" width="12.0"/>
    <col customWidth="1" min="11" max="11" width="22.0"/>
    <col customWidth="1" min="12" max="12" width="30.0"/>
    <col customWidth="1" min="13" max="26" width="8.71"/>
  </cols>
  <sheetData>
    <row r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45.0" customHeight="1">
      <c r="A2" s="4" t="s">
        <v>5</v>
      </c>
      <c r="B2" s="5" t="s">
        <v>6</v>
      </c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10</v>
      </c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15</v>
      </c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21</v>
      </c>
      <c r="B6" s="7" t="s">
        <v>24</v>
      </c>
      <c r="C6" s="7" t="s">
        <v>23</v>
      </c>
      <c r="D6" s="7" t="s">
        <v>26</v>
      </c>
      <c r="E6" s="7" t="s">
        <v>28</v>
      </c>
      <c r="F6" s="7" t="s">
        <v>30</v>
      </c>
      <c r="G6" s="7" t="s">
        <v>32</v>
      </c>
      <c r="H6" s="7" t="s">
        <v>34</v>
      </c>
      <c r="I6" s="7" t="s">
        <v>36</v>
      </c>
      <c r="J6" s="7" t="s">
        <v>38</v>
      </c>
      <c r="K6" s="8" t="s">
        <v>14</v>
      </c>
      <c r="L6" s="8" t="s">
        <v>40</v>
      </c>
      <c r="M6" s="3"/>
      <c r="N6" s="3"/>
      <c r="O6" s="3"/>
      <c r="P6" s="3"/>
      <c r="Q6" s="3"/>
      <c r="R6" s="3"/>
      <c r="S6" s="3"/>
    </row>
    <row r="7">
      <c r="A7" s="9" t="s">
        <v>41</v>
      </c>
      <c r="B7" s="9" t="s">
        <v>43</v>
      </c>
      <c r="C7" s="9" t="s">
        <v>45</v>
      </c>
      <c r="D7" s="9" t="s">
        <v>47</v>
      </c>
      <c r="E7" s="9" t="s">
        <v>49</v>
      </c>
      <c r="F7" s="9" t="s">
        <v>51</v>
      </c>
      <c r="G7" s="9" t="s">
        <v>52</v>
      </c>
      <c r="H7" s="9" t="s">
        <v>53</v>
      </c>
      <c r="I7" s="9" t="s">
        <v>54</v>
      </c>
      <c r="J7" s="11">
        <v>2683.33</v>
      </c>
      <c r="K7" s="15" t="s">
        <v>76</v>
      </c>
      <c r="L7" s="16"/>
      <c r="M7" s="3"/>
      <c r="N7" s="3"/>
      <c r="O7" s="3"/>
      <c r="P7" s="3"/>
      <c r="Q7" s="3"/>
      <c r="R7" s="3"/>
      <c r="S7" s="3"/>
    </row>
    <row r="8">
      <c r="A8" s="9" t="s">
        <v>80</v>
      </c>
      <c r="B8" s="9" t="s">
        <v>43</v>
      </c>
      <c r="C8" s="9" t="s">
        <v>81</v>
      </c>
      <c r="D8" s="9" t="s">
        <v>82</v>
      </c>
      <c r="E8" s="9" t="s">
        <v>49</v>
      </c>
      <c r="F8" s="9" t="s">
        <v>51</v>
      </c>
      <c r="G8" s="9" t="s">
        <v>52</v>
      </c>
      <c r="H8" s="9" t="s">
        <v>84</v>
      </c>
      <c r="I8" s="9" t="s">
        <v>85</v>
      </c>
      <c r="J8" s="11">
        <v>2449.3</v>
      </c>
      <c r="K8" s="15" t="s">
        <v>76</v>
      </c>
      <c r="L8" s="16"/>
      <c r="M8" s="3"/>
      <c r="N8" s="3"/>
      <c r="O8" s="3"/>
      <c r="P8" s="3"/>
      <c r="Q8" s="3"/>
      <c r="R8" s="3"/>
      <c r="S8" s="3"/>
    </row>
    <row r="9">
      <c r="A9" s="9" t="s">
        <v>41</v>
      </c>
      <c r="B9" s="9" t="s">
        <v>43</v>
      </c>
      <c r="C9" s="9" t="s">
        <v>90</v>
      </c>
      <c r="D9" s="9" t="s">
        <v>91</v>
      </c>
      <c r="E9" s="9" t="s">
        <v>49</v>
      </c>
      <c r="F9" s="9" t="s">
        <v>51</v>
      </c>
      <c r="G9" s="9" t="s">
        <v>52</v>
      </c>
      <c r="H9" s="9" t="s">
        <v>92</v>
      </c>
      <c r="I9" s="9" t="s">
        <v>93</v>
      </c>
      <c r="J9" s="11">
        <v>2565.93</v>
      </c>
      <c r="K9" s="15" t="s">
        <v>76</v>
      </c>
      <c r="L9" s="16"/>
      <c r="M9" s="3"/>
      <c r="N9" s="3"/>
      <c r="O9" s="3"/>
      <c r="P9" s="3"/>
      <c r="Q9" s="3"/>
      <c r="R9" s="3"/>
      <c r="S9" s="3"/>
    </row>
    <row r="10">
      <c r="A10" s="9" t="s">
        <v>41</v>
      </c>
      <c r="B10" s="9" t="s">
        <v>43</v>
      </c>
      <c r="C10" s="9" t="s">
        <v>94</v>
      </c>
      <c r="D10" s="9" t="s">
        <v>91</v>
      </c>
      <c r="E10" s="9" t="s">
        <v>49</v>
      </c>
      <c r="F10" s="9" t="s">
        <v>51</v>
      </c>
      <c r="G10" s="9" t="s">
        <v>52</v>
      </c>
      <c r="H10" s="9" t="s">
        <v>92</v>
      </c>
      <c r="I10" s="9" t="s">
        <v>93</v>
      </c>
      <c r="J10" s="11">
        <v>2566.67</v>
      </c>
      <c r="K10" s="15" t="s">
        <v>76</v>
      </c>
      <c r="L10" s="16"/>
      <c r="M10" s="3"/>
      <c r="N10" s="3"/>
      <c r="O10" s="3"/>
      <c r="P10" s="3"/>
      <c r="Q10" s="3"/>
      <c r="R10" s="3"/>
      <c r="S10" s="3"/>
    </row>
    <row r="11">
      <c r="A11" s="9" t="s">
        <v>95</v>
      </c>
      <c r="B11" s="9" t="s">
        <v>96</v>
      </c>
      <c r="C11" s="9" t="s">
        <v>97</v>
      </c>
      <c r="D11" s="9" t="s">
        <v>98</v>
      </c>
      <c r="E11" s="9" t="s">
        <v>99</v>
      </c>
      <c r="F11" s="9" t="s">
        <v>100</v>
      </c>
      <c r="G11" s="9" t="s">
        <v>52</v>
      </c>
      <c r="H11" s="9" t="s">
        <v>101</v>
      </c>
      <c r="I11" s="9" t="s">
        <v>102</v>
      </c>
      <c r="J11" s="11">
        <v>650.0</v>
      </c>
      <c r="K11" s="15" t="s">
        <v>76</v>
      </c>
      <c r="L11" s="16"/>
      <c r="M11" s="3"/>
      <c r="N11" s="3"/>
      <c r="O11" s="3"/>
      <c r="P11" s="3"/>
      <c r="Q11" s="3"/>
      <c r="R11" s="3"/>
      <c r="S11" s="3"/>
    </row>
    <row r="12">
      <c r="A12" s="9" t="s">
        <v>95</v>
      </c>
      <c r="B12" s="9" t="s">
        <v>96</v>
      </c>
      <c r="C12" s="9" t="s">
        <v>104</v>
      </c>
      <c r="D12" s="9" t="s">
        <v>105</v>
      </c>
      <c r="E12" s="9" t="s">
        <v>99</v>
      </c>
      <c r="F12" s="9" t="s">
        <v>100</v>
      </c>
      <c r="G12" s="9" t="s">
        <v>52</v>
      </c>
      <c r="H12" s="9" t="s">
        <v>108</v>
      </c>
      <c r="I12" s="9" t="s">
        <v>109</v>
      </c>
      <c r="J12" s="11">
        <v>550.0</v>
      </c>
      <c r="K12" s="15" t="s">
        <v>76</v>
      </c>
      <c r="L12" s="16"/>
      <c r="M12" s="3"/>
      <c r="N12" s="3"/>
      <c r="O12" s="3"/>
      <c r="P12" s="3"/>
      <c r="Q12" s="3"/>
      <c r="R12" s="3"/>
      <c r="S12" s="3"/>
    </row>
    <row r="13">
      <c r="A13" s="9" t="s">
        <v>111</v>
      </c>
      <c r="B13" s="9" t="s">
        <v>96</v>
      </c>
      <c r="C13" s="9" t="s">
        <v>112</v>
      </c>
      <c r="D13" s="9" t="s">
        <v>47</v>
      </c>
      <c r="E13" s="9" t="s">
        <v>99</v>
      </c>
      <c r="F13" s="9" t="s">
        <v>100</v>
      </c>
      <c r="G13" s="9" t="s">
        <v>52</v>
      </c>
      <c r="H13" s="9" t="s">
        <v>53</v>
      </c>
      <c r="I13" s="9" t="s">
        <v>54</v>
      </c>
      <c r="J13" s="11">
        <v>1150.0</v>
      </c>
      <c r="K13" s="15" t="s">
        <v>76</v>
      </c>
      <c r="L13" s="16"/>
      <c r="M13" s="3"/>
      <c r="N13" s="3"/>
      <c r="O13" s="3"/>
      <c r="P13" s="3"/>
      <c r="Q13" s="3"/>
      <c r="R13" s="3"/>
      <c r="S13" s="3"/>
    </row>
    <row r="14">
      <c r="A14" s="9" t="s">
        <v>113</v>
      </c>
      <c r="B14" s="9" t="s">
        <v>114</v>
      </c>
      <c r="C14" s="9" t="s">
        <v>115</v>
      </c>
      <c r="D14" s="9" t="s">
        <v>52</v>
      </c>
      <c r="E14" s="9" t="s">
        <v>116</v>
      </c>
      <c r="F14" s="9" t="s">
        <v>100</v>
      </c>
      <c r="G14" s="9" t="s">
        <v>117</v>
      </c>
      <c r="H14" s="9" t="s">
        <v>118</v>
      </c>
      <c r="I14" s="9" t="s">
        <v>119</v>
      </c>
      <c r="J14" s="11">
        <v>886.67</v>
      </c>
      <c r="K14" s="15" t="s">
        <v>76</v>
      </c>
      <c r="L14" s="16"/>
      <c r="M14" s="3"/>
      <c r="N14" s="3"/>
      <c r="O14" s="3"/>
      <c r="P14" s="3"/>
      <c r="Q14" s="3"/>
      <c r="R14" s="3"/>
      <c r="S14" s="3"/>
    </row>
    <row r="15">
      <c r="A15" s="9" t="s">
        <v>120</v>
      </c>
      <c r="B15" s="9" t="s">
        <v>121</v>
      </c>
      <c r="C15" s="9" t="s">
        <v>122</v>
      </c>
      <c r="D15" s="9" t="s">
        <v>123</v>
      </c>
      <c r="E15" s="9" t="s">
        <v>124</v>
      </c>
      <c r="F15" s="9" t="s">
        <v>51</v>
      </c>
      <c r="G15" s="9" t="s">
        <v>52</v>
      </c>
      <c r="H15" s="9" t="s">
        <v>125</v>
      </c>
      <c r="I15" s="9" t="s">
        <v>126</v>
      </c>
      <c r="J15" s="11">
        <v>1012.7</v>
      </c>
      <c r="K15" s="15" t="s">
        <v>76</v>
      </c>
      <c r="L15" s="16"/>
      <c r="M15" s="3"/>
      <c r="N15" s="3"/>
      <c r="O15" s="3"/>
      <c r="P15" s="3"/>
      <c r="Q15" s="3"/>
      <c r="R15" s="3"/>
      <c r="S15" s="3"/>
    </row>
    <row r="16">
      <c r="A16" s="9" t="s">
        <v>127</v>
      </c>
      <c r="B16" s="9" t="s">
        <v>128</v>
      </c>
      <c r="C16" s="9" t="s">
        <v>129</v>
      </c>
      <c r="D16" s="9" t="s">
        <v>130</v>
      </c>
      <c r="E16" s="9" t="s">
        <v>131</v>
      </c>
      <c r="F16" s="9" t="s">
        <v>51</v>
      </c>
      <c r="G16" s="9" t="s">
        <v>52</v>
      </c>
      <c r="H16" s="9" t="s">
        <v>132</v>
      </c>
      <c r="I16" s="9" t="s">
        <v>133</v>
      </c>
      <c r="J16" s="11">
        <v>2339.13</v>
      </c>
      <c r="K16" s="15" t="s">
        <v>76</v>
      </c>
      <c r="L16" s="16"/>
      <c r="M16" s="3"/>
      <c r="N16" s="3"/>
      <c r="O16" s="3"/>
      <c r="P16" s="3"/>
      <c r="Q16" s="3"/>
      <c r="R16" s="3"/>
      <c r="S16" s="3"/>
    </row>
    <row r="17">
      <c r="A17" s="9" t="s">
        <v>134</v>
      </c>
      <c r="B17" s="9" t="s">
        <v>128</v>
      </c>
      <c r="C17" s="9" t="s">
        <v>135</v>
      </c>
      <c r="D17" s="9" t="s">
        <v>82</v>
      </c>
      <c r="E17" s="9" t="s">
        <v>131</v>
      </c>
      <c r="F17" s="9" t="s">
        <v>51</v>
      </c>
      <c r="G17" s="9" t="s">
        <v>52</v>
      </c>
      <c r="H17" s="9" t="s">
        <v>84</v>
      </c>
      <c r="I17" s="9" t="s">
        <v>85</v>
      </c>
      <c r="J17" s="11">
        <v>1889.3</v>
      </c>
      <c r="K17" s="15" t="s">
        <v>76</v>
      </c>
      <c r="L17" s="16"/>
      <c r="M17" s="3"/>
      <c r="N17" s="3"/>
      <c r="O17" s="3"/>
      <c r="P17" s="3"/>
      <c r="Q17" s="3"/>
      <c r="R17" s="3"/>
      <c r="S17" s="3"/>
    </row>
    <row r="18">
      <c r="A18" s="9" t="s">
        <v>127</v>
      </c>
      <c r="B18" s="9" t="s">
        <v>128</v>
      </c>
      <c r="C18" s="9" t="s">
        <v>139</v>
      </c>
      <c r="D18" s="9" t="s">
        <v>130</v>
      </c>
      <c r="E18" s="9" t="s">
        <v>131</v>
      </c>
      <c r="F18" s="9" t="s">
        <v>51</v>
      </c>
      <c r="G18" s="9" t="s">
        <v>52</v>
      </c>
      <c r="H18" s="9" t="s">
        <v>132</v>
      </c>
      <c r="I18" s="9" t="s">
        <v>133</v>
      </c>
      <c r="J18" s="11">
        <v>2165.8</v>
      </c>
      <c r="K18" s="15" t="s">
        <v>76</v>
      </c>
      <c r="L18" s="16"/>
      <c r="M18" s="3"/>
      <c r="N18" s="3"/>
      <c r="O18" s="3"/>
      <c r="P18" s="3"/>
      <c r="Q18" s="3"/>
      <c r="R18" s="3"/>
      <c r="S18" s="3"/>
    </row>
    <row r="19">
      <c r="A19" s="9" t="s">
        <v>127</v>
      </c>
      <c r="B19" s="9" t="s">
        <v>128</v>
      </c>
      <c r="C19" s="9" t="s">
        <v>140</v>
      </c>
      <c r="D19" s="9" t="s">
        <v>130</v>
      </c>
      <c r="E19" s="9" t="s">
        <v>131</v>
      </c>
      <c r="F19" s="9" t="s">
        <v>51</v>
      </c>
      <c r="G19" s="9" t="s">
        <v>52</v>
      </c>
      <c r="H19" s="9" t="s">
        <v>132</v>
      </c>
      <c r="I19" s="9" t="s">
        <v>133</v>
      </c>
      <c r="J19" s="11">
        <v>1905.8</v>
      </c>
      <c r="K19" s="15" t="s">
        <v>76</v>
      </c>
      <c r="L19" s="16"/>
      <c r="M19" s="3"/>
      <c r="N19" s="3"/>
      <c r="O19" s="3"/>
      <c r="P19" s="3"/>
      <c r="Q19" s="3"/>
      <c r="R19" s="3"/>
      <c r="S19" s="3"/>
    </row>
    <row r="20">
      <c r="A20" s="9" t="s">
        <v>127</v>
      </c>
      <c r="B20" s="9" t="s">
        <v>128</v>
      </c>
      <c r="C20" s="9" t="s">
        <v>141</v>
      </c>
      <c r="D20" s="9" t="s">
        <v>130</v>
      </c>
      <c r="E20" s="9" t="s">
        <v>131</v>
      </c>
      <c r="F20" s="9" t="s">
        <v>51</v>
      </c>
      <c r="G20" s="9" t="s">
        <v>52</v>
      </c>
      <c r="H20" s="9" t="s">
        <v>132</v>
      </c>
      <c r="I20" s="9" t="s">
        <v>133</v>
      </c>
      <c r="J20" s="11">
        <v>2339.13</v>
      </c>
      <c r="K20" s="15" t="s">
        <v>76</v>
      </c>
      <c r="L20" s="16"/>
      <c r="M20" s="3"/>
      <c r="N20" s="3"/>
      <c r="O20" s="3"/>
      <c r="P20" s="3"/>
      <c r="Q20" s="3"/>
      <c r="R20" s="3"/>
      <c r="S20" s="3"/>
    </row>
    <row r="21" ht="15.75" customHeight="1">
      <c r="A21" s="9" t="s">
        <v>134</v>
      </c>
      <c r="B21" s="9" t="s">
        <v>128</v>
      </c>
      <c r="C21" s="9" t="s">
        <v>142</v>
      </c>
      <c r="D21" s="9" t="s">
        <v>82</v>
      </c>
      <c r="E21" s="9" t="s">
        <v>131</v>
      </c>
      <c r="F21" s="9" t="s">
        <v>51</v>
      </c>
      <c r="G21" s="9" t="s">
        <v>52</v>
      </c>
      <c r="H21" s="9" t="s">
        <v>84</v>
      </c>
      <c r="I21" s="9" t="s">
        <v>85</v>
      </c>
      <c r="J21" s="11">
        <v>1889.3</v>
      </c>
      <c r="K21" s="15" t="s">
        <v>76</v>
      </c>
      <c r="L21" s="16"/>
      <c r="M21" s="3"/>
      <c r="N21" s="3"/>
      <c r="O21" s="3"/>
      <c r="P21" s="3"/>
      <c r="Q21" s="3"/>
      <c r="R21" s="3"/>
      <c r="S21" s="3"/>
    </row>
    <row r="22" ht="15.75" customHeight="1">
      <c r="A22" s="9" t="s">
        <v>134</v>
      </c>
      <c r="B22" s="9" t="s">
        <v>128</v>
      </c>
      <c r="C22" s="9" t="s">
        <v>143</v>
      </c>
      <c r="D22" s="9" t="s">
        <v>144</v>
      </c>
      <c r="E22" s="9" t="s">
        <v>131</v>
      </c>
      <c r="F22" s="9" t="s">
        <v>51</v>
      </c>
      <c r="G22" s="9" t="s">
        <v>52</v>
      </c>
      <c r="H22" s="9" t="s">
        <v>145</v>
      </c>
      <c r="I22" s="9" t="s">
        <v>146</v>
      </c>
      <c r="J22" s="11">
        <v>1619.4</v>
      </c>
      <c r="K22" s="15" t="s">
        <v>76</v>
      </c>
      <c r="L22" s="16"/>
      <c r="M22" s="3"/>
      <c r="N22" s="3"/>
      <c r="O22" s="3"/>
      <c r="P22" s="3"/>
      <c r="Q22" s="3"/>
      <c r="R22" s="3"/>
      <c r="S22" s="3"/>
    </row>
    <row r="23" ht="15.75" customHeight="1">
      <c r="A23" s="9" t="s">
        <v>148</v>
      </c>
      <c r="B23" s="9" t="s">
        <v>150</v>
      </c>
      <c r="C23" s="9" t="s">
        <v>151</v>
      </c>
      <c r="D23" s="9" t="s">
        <v>152</v>
      </c>
      <c r="E23" s="9" t="s">
        <v>154</v>
      </c>
      <c r="F23" s="9" t="s">
        <v>100</v>
      </c>
      <c r="G23" s="9" t="s">
        <v>52</v>
      </c>
      <c r="H23" s="9" t="s">
        <v>155</v>
      </c>
      <c r="I23" s="9" t="s">
        <v>156</v>
      </c>
      <c r="J23" s="11">
        <v>1424.5</v>
      </c>
      <c r="K23" s="15" t="s">
        <v>76</v>
      </c>
      <c r="L23" s="16"/>
      <c r="M23" s="3"/>
      <c r="N23" s="3"/>
      <c r="O23" s="3"/>
      <c r="P23" s="3"/>
      <c r="Q23" s="3"/>
      <c r="R23" s="3"/>
      <c r="S23" s="3"/>
    </row>
    <row r="24" ht="15.75" customHeight="1">
      <c r="A24" s="9" t="s">
        <v>148</v>
      </c>
      <c r="B24" s="9" t="s">
        <v>150</v>
      </c>
      <c r="C24" s="9" t="s">
        <v>157</v>
      </c>
      <c r="D24" s="9" t="s">
        <v>123</v>
      </c>
      <c r="E24" s="9" t="s">
        <v>154</v>
      </c>
      <c r="F24" s="9" t="s">
        <v>100</v>
      </c>
      <c r="G24" s="9" t="s">
        <v>52</v>
      </c>
      <c r="H24" s="9" t="s">
        <v>125</v>
      </c>
      <c r="I24" s="9" t="s">
        <v>126</v>
      </c>
      <c r="J24" s="11">
        <v>5700.0</v>
      </c>
      <c r="K24" s="15" t="s">
        <v>76</v>
      </c>
      <c r="L24" s="16"/>
      <c r="M24" s="3"/>
      <c r="N24" s="3"/>
      <c r="O24" s="3"/>
      <c r="P24" s="3"/>
      <c r="Q24" s="3"/>
      <c r="R24" s="3"/>
      <c r="S24" s="3"/>
    </row>
    <row r="25" ht="15.75" customHeight="1">
      <c r="A25" s="9" t="s">
        <v>158</v>
      </c>
      <c r="B25" s="9" t="s">
        <v>159</v>
      </c>
      <c r="C25" s="9" t="s">
        <v>160</v>
      </c>
      <c r="D25" s="9" t="s">
        <v>52</v>
      </c>
      <c r="E25" s="9" t="s">
        <v>161</v>
      </c>
      <c r="F25" s="9" t="s">
        <v>51</v>
      </c>
      <c r="G25" s="9" t="s">
        <v>52</v>
      </c>
      <c r="H25" s="9" t="s">
        <v>118</v>
      </c>
      <c r="I25" s="9" t="s">
        <v>119</v>
      </c>
      <c r="J25" s="11">
        <v>1306.67</v>
      </c>
      <c r="K25" s="15" t="s">
        <v>76</v>
      </c>
      <c r="L25" s="16"/>
      <c r="M25" s="3"/>
      <c r="N25" s="3"/>
      <c r="O25" s="3"/>
      <c r="P25" s="3"/>
      <c r="Q25" s="3"/>
      <c r="R25" s="3"/>
      <c r="S25" s="3"/>
    </row>
    <row r="26" ht="15.75" customHeight="1">
      <c r="A26" s="9" t="s">
        <v>162</v>
      </c>
      <c r="B26" s="9" t="s">
        <v>163</v>
      </c>
      <c r="C26" s="9" t="s">
        <v>164</v>
      </c>
      <c r="D26" s="9" t="s">
        <v>165</v>
      </c>
      <c r="E26" s="9" t="s">
        <v>166</v>
      </c>
      <c r="F26" s="9" t="s">
        <v>100</v>
      </c>
      <c r="G26" s="9" t="s">
        <v>52</v>
      </c>
      <c r="H26" s="9" t="s">
        <v>167</v>
      </c>
      <c r="I26" s="9" t="s">
        <v>168</v>
      </c>
      <c r="J26" s="11">
        <v>2316.0</v>
      </c>
      <c r="K26" s="15" t="s">
        <v>76</v>
      </c>
      <c r="L26" s="16"/>
      <c r="M26" s="3"/>
      <c r="N26" s="3"/>
      <c r="O26" s="3"/>
      <c r="P26" s="3"/>
      <c r="Q26" s="3"/>
      <c r="R26" s="3"/>
      <c r="S26" s="3"/>
    </row>
    <row r="27" ht="15.75" customHeight="1">
      <c r="A27" s="9" t="s">
        <v>162</v>
      </c>
      <c r="B27" s="9" t="s">
        <v>163</v>
      </c>
      <c r="C27" s="9" t="s">
        <v>169</v>
      </c>
      <c r="D27" s="9" t="s">
        <v>98</v>
      </c>
      <c r="E27" s="9" t="s">
        <v>166</v>
      </c>
      <c r="F27" s="9" t="s">
        <v>100</v>
      </c>
      <c r="G27" s="9" t="s">
        <v>52</v>
      </c>
      <c r="H27" s="9" t="s">
        <v>101</v>
      </c>
      <c r="I27" s="9" t="s">
        <v>102</v>
      </c>
      <c r="J27" s="11">
        <v>2805.4</v>
      </c>
      <c r="K27" s="15" t="s">
        <v>76</v>
      </c>
      <c r="L27" s="16"/>
      <c r="M27" s="3"/>
      <c r="N27" s="3"/>
      <c r="O27" s="3"/>
      <c r="P27" s="3"/>
      <c r="Q27" s="3"/>
      <c r="R27" s="3"/>
      <c r="S27" s="3"/>
    </row>
    <row r="28" ht="15.75" customHeight="1">
      <c r="A28" s="9" t="s">
        <v>162</v>
      </c>
      <c r="B28" s="9" t="s">
        <v>163</v>
      </c>
      <c r="C28" s="9" t="s">
        <v>173</v>
      </c>
      <c r="D28" s="9" t="s">
        <v>165</v>
      </c>
      <c r="E28" s="9" t="s">
        <v>166</v>
      </c>
      <c r="F28" s="9" t="s">
        <v>100</v>
      </c>
      <c r="G28" s="9" t="s">
        <v>52</v>
      </c>
      <c r="H28" s="9" t="s">
        <v>167</v>
      </c>
      <c r="I28" s="9" t="s">
        <v>168</v>
      </c>
      <c r="J28" s="11">
        <v>3332.67</v>
      </c>
      <c r="K28" s="15" t="s">
        <v>76</v>
      </c>
      <c r="L28" s="16"/>
      <c r="M28" s="3"/>
      <c r="N28" s="3"/>
      <c r="O28" s="3"/>
      <c r="P28" s="3"/>
      <c r="Q28" s="3"/>
      <c r="R28" s="3"/>
      <c r="S28" s="3"/>
    </row>
    <row r="29" ht="15.75" customHeight="1">
      <c r="A29" s="9" t="s">
        <v>162</v>
      </c>
      <c r="B29" s="9" t="s">
        <v>163</v>
      </c>
      <c r="C29" s="9" t="s">
        <v>174</v>
      </c>
      <c r="D29" s="9" t="s">
        <v>165</v>
      </c>
      <c r="E29" s="9" t="s">
        <v>166</v>
      </c>
      <c r="F29" s="9" t="s">
        <v>100</v>
      </c>
      <c r="G29" s="9" t="s">
        <v>52</v>
      </c>
      <c r="H29" s="9" t="s">
        <v>167</v>
      </c>
      <c r="I29" s="9" t="s">
        <v>168</v>
      </c>
      <c r="J29" s="11">
        <v>3332.67</v>
      </c>
      <c r="K29" s="15" t="s">
        <v>76</v>
      </c>
      <c r="L29" s="16"/>
      <c r="M29" s="3"/>
      <c r="N29" s="3"/>
      <c r="O29" s="3"/>
      <c r="P29" s="3"/>
      <c r="Q29" s="3"/>
      <c r="R29" s="3"/>
      <c r="S29" s="3"/>
    </row>
    <row r="30" ht="15.75" customHeight="1">
      <c r="A30" s="9" t="s">
        <v>162</v>
      </c>
      <c r="B30" s="9" t="s">
        <v>163</v>
      </c>
      <c r="C30" s="9" t="s">
        <v>175</v>
      </c>
      <c r="D30" s="9" t="s">
        <v>165</v>
      </c>
      <c r="E30" s="9" t="s">
        <v>166</v>
      </c>
      <c r="F30" s="9" t="s">
        <v>100</v>
      </c>
      <c r="G30" s="9" t="s">
        <v>52</v>
      </c>
      <c r="H30" s="9" t="s">
        <v>167</v>
      </c>
      <c r="I30" s="9" t="s">
        <v>168</v>
      </c>
      <c r="J30" s="11">
        <v>2800.0</v>
      </c>
      <c r="K30" s="15" t="s">
        <v>76</v>
      </c>
      <c r="L30" s="16"/>
      <c r="M30" s="3"/>
      <c r="N30" s="3"/>
      <c r="O30" s="3"/>
      <c r="P30" s="3"/>
      <c r="Q30" s="3"/>
      <c r="R30" s="3"/>
      <c r="S30" s="3"/>
    </row>
    <row r="31" ht="15.75" customHeight="1">
      <c r="A31" s="9" t="s">
        <v>162</v>
      </c>
      <c r="B31" s="9" t="s">
        <v>163</v>
      </c>
      <c r="C31" s="9" t="s">
        <v>179</v>
      </c>
      <c r="D31" s="9" t="s">
        <v>165</v>
      </c>
      <c r="E31" s="9" t="s">
        <v>166</v>
      </c>
      <c r="F31" s="9" t="s">
        <v>100</v>
      </c>
      <c r="G31" s="9" t="s">
        <v>52</v>
      </c>
      <c r="H31" s="9" t="s">
        <v>167</v>
      </c>
      <c r="I31" s="9" t="s">
        <v>168</v>
      </c>
      <c r="J31" s="11">
        <v>2600.0</v>
      </c>
      <c r="K31" s="15" t="s">
        <v>76</v>
      </c>
      <c r="L31" s="16"/>
      <c r="M31" s="3"/>
      <c r="N31" s="3"/>
      <c r="O31" s="3"/>
      <c r="P31" s="3"/>
      <c r="Q31" s="3"/>
      <c r="R31" s="3"/>
      <c r="S31" s="3"/>
    </row>
    <row r="32" ht="15.75" customHeight="1">
      <c r="A32" s="9" t="s">
        <v>162</v>
      </c>
      <c r="B32" s="9" t="s">
        <v>163</v>
      </c>
      <c r="C32" s="9" t="s">
        <v>181</v>
      </c>
      <c r="D32" s="9" t="s">
        <v>165</v>
      </c>
      <c r="E32" s="9" t="s">
        <v>166</v>
      </c>
      <c r="F32" s="9" t="s">
        <v>100</v>
      </c>
      <c r="G32" s="9" t="s">
        <v>52</v>
      </c>
      <c r="H32" s="9" t="s">
        <v>167</v>
      </c>
      <c r="I32" s="9" t="s">
        <v>168</v>
      </c>
      <c r="J32" s="11">
        <v>2800.0</v>
      </c>
      <c r="K32" s="15" t="s">
        <v>76</v>
      </c>
      <c r="L32" s="16"/>
      <c r="M32" s="3"/>
      <c r="N32" s="3"/>
      <c r="O32" s="3"/>
      <c r="P32" s="3"/>
      <c r="Q32" s="3"/>
      <c r="R32" s="3"/>
      <c r="S32" s="3"/>
    </row>
    <row r="33" ht="15.75" customHeight="1">
      <c r="A33" s="9" t="s">
        <v>182</v>
      </c>
      <c r="B33" s="9" t="s">
        <v>183</v>
      </c>
      <c r="C33" s="9" t="s">
        <v>184</v>
      </c>
      <c r="D33" s="9" t="s">
        <v>185</v>
      </c>
      <c r="E33" s="9" t="s">
        <v>186</v>
      </c>
      <c r="F33" s="9" t="s">
        <v>100</v>
      </c>
      <c r="G33" s="9" t="s">
        <v>52</v>
      </c>
      <c r="H33" s="9" t="s">
        <v>187</v>
      </c>
      <c r="I33" s="9" t="s">
        <v>188</v>
      </c>
      <c r="J33" s="11">
        <v>303.1</v>
      </c>
      <c r="K33" s="15" t="s">
        <v>76</v>
      </c>
      <c r="L33" s="16"/>
      <c r="M33" s="3"/>
      <c r="N33" s="3"/>
      <c r="O33" s="3"/>
      <c r="P33" s="3"/>
      <c r="Q33" s="3"/>
      <c r="R33" s="3"/>
      <c r="S33" s="3"/>
    </row>
    <row r="34" ht="15.75" customHeight="1">
      <c r="A34" s="9" t="s">
        <v>189</v>
      </c>
      <c r="B34" s="9" t="s">
        <v>190</v>
      </c>
      <c r="C34" s="9" t="s">
        <v>191</v>
      </c>
      <c r="D34" s="9" t="s">
        <v>152</v>
      </c>
      <c r="E34" s="9" t="s">
        <v>192</v>
      </c>
      <c r="F34" s="9" t="s">
        <v>100</v>
      </c>
      <c r="G34" s="9" t="s">
        <v>52</v>
      </c>
      <c r="H34" s="9" t="s">
        <v>155</v>
      </c>
      <c r="I34" s="9" t="s">
        <v>156</v>
      </c>
      <c r="J34" s="11">
        <v>4499.5</v>
      </c>
      <c r="K34" s="15" t="s">
        <v>76</v>
      </c>
      <c r="L34" s="16"/>
      <c r="M34" s="3"/>
      <c r="N34" s="3"/>
      <c r="O34" s="3"/>
      <c r="P34" s="3"/>
      <c r="Q34" s="3"/>
      <c r="R34" s="3"/>
      <c r="S34" s="3"/>
    </row>
    <row r="35" ht="15.75" customHeight="1">
      <c r="A35" s="9" t="s">
        <v>189</v>
      </c>
      <c r="B35" s="9" t="s">
        <v>190</v>
      </c>
      <c r="C35" s="9" t="s">
        <v>196</v>
      </c>
      <c r="D35" s="9" t="s">
        <v>82</v>
      </c>
      <c r="E35" s="9" t="s">
        <v>192</v>
      </c>
      <c r="F35" s="9" t="s">
        <v>100</v>
      </c>
      <c r="G35" s="9" t="s">
        <v>52</v>
      </c>
      <c r="H35" s="9" t="s">
        <v>84</v>
      </c>
      <c r="I35" s="9" t="s">
        <v>85</v>
      </c>
      <c r="J35" s="11">
        <v>3849.3</v>
      </c>
      <c r="K35" s="15" t="s">
        <v>76</v>
      </c>
      <c r="L35" s="16"/>
      <c r="M35" s="3"/>
      <c r="N35" s="3"/>
      <c r="O35" s="3"/>
      <c r="P35" s="3"/>
      <c r="Q35" s="3"/>
      <c r="R35" s="3"/>
      <c r="S35" s="3"/>
    </row>
    <row r="36" ht="15.75" customHeight="1">
      <c r="A36" s="9" t="s">
        <v>197</v>
      </c>
      <c r="B36" s="9" t="s">
        <v>198</v>
      </c>
      <c r="C36" s="9" t="s">
        <v>199</v>
      </c>
      <c r="D36" s="9" t="s">
        <v>123</v>
      </c>
      <c r="E36" s="9" t="s">
        <v>200</v>
      </c>
      <c r="F36" s="9" t="s">
        <v>51</v>
      </c>
      <c r="G36" s="9" t="s">
        <v>52</v>
      </c>
      <c r="H36" s="9" t="s">
        <v>125</v>
      </c>
      <c r="I36" s="9" t="s">
        <v>126</v>
      </c>
      <c r="J36" s="11">
        <v>1772.7</v>
      </c>
      <c r="K36" s="15" t="s">
        <v>76</v>
      </c>
      <c r="L36" s="16"/>
      <c r="M36" s="3"/>
      <c r="N36" s="3"/>
      <c r="O36" s="3"/>
      <c r="P36" s="3"/>
      <c r="Q36" s="3"/>
      <c r="R36" s="3"/>
      <c r="S36" s="3"/>
    </row>
    <row r="37" ht="15.75" customHeight="1">
      <c r="A37" s="9" t="s">
        <v>201</v>
      </c>
      <c r="B37" s="9" t="s">
        <v>202</v>
      </c>
      <c r="C37" s="9" t="s">
        <v>203</v>
      </c>
      <c r="D37" s="9" t="s">
        <v>152</v>
      </c>
      <c r="E37" s="9" t="s">
        <v>204</v>
      </c>
      <c r="F37" s="9" t="s">
        <v>100</v>
      </c>
      <c r="G37" s="9" t="s">
        <v>52</v>
      </c>
      <c r="H37" s="9" t="s">
        <v>155</v>
      </c>
      <c r="I37" s="9" t="s">
        <v>156</v>
      </c>
      <c r="J37" s="11">
        <v>949.5</v>
      </c>
      <c r="K37" s="15" t="s">
        <v>76</v>
      </c>
      <c r="L37" s="16"/>
      <c r="M37" s="3"/>
      <c r="N37" s="3"/>
      <c r="O37" s="3"/>
      <c r="P37" s="3"/>
      <c r="Q37" s="3"/>
      <c r="R37" s="3"/>
      <c r="S37" s="3"/>
    </row>
    <row r="38" ht="15.75" customHeight="1">
      <c r="A38" s="9" t="s">
        <v>208</v>
      </c>
      <c r="B38" s="9" t="s">
        <v>209</v>
      </c>
      <c r="C38" s="9" t="s">
        <v>210</v>
      </c>
      <c r="D38" s="9" t="s">
        <v>211</v>
      </c>
      <c r="E38" s="9" t="s">
        <v>212</v>
      </c>
      <c r="F38" s="9" t="s">
        <v>51</v>
      </c>
      <c r="G38" s="9" t="s">
        <v>52</v>
      </c>
      <c r="H38" s="9" t="s">
        <v>213</v>
      </c>
      <c r="I38" s="9" t="s">
        <v>214</v>
      </c>
      <c r="J38" s="11">
        <v>1799.1</v>
      </c>
      <c r="K38" s="15" t="s">
        <v>76</v>
      </c>
      <c r="L38" s="16"/>
      <c r="M38" s="3"/>
      <c r="N38" s="3"/>
      <c r="O38" s="3"/>
      <c r="P38" s="3"/>
      <c r="Q38" s="3"/>
      <c r="R38" s="3"/>
      <c r="S38" s="3"/>
    </row>
    <row r="39" ht="15.75" customHeight="1">
      <c r="A39" s="9" t="s">
        <v>215</v>
      </c>
      <c r="B39" s="9" t="s">
        <v>216</v>
      </c>
      <c r="C39" s="9" t="s">
        <v>217</v>
      </c>
      <c r="D39" s="9" t="s">
        <v>218</v>
      </c>
      <c r="E39" s="9" t="s">
        <v>219</v>
      </c>
      <c r="F39" s="9" t="s">
        <v>100</v>
      </c>
      <c r="G39" s="9" t="s">
        <v>52</v>
      </c>
      <c r="H39" s="9" t="s">
        <v>220</v>
      </c>
      <c r="I39" s="9" t="s">
        <v>221</v>
      </c>
      <c r="J39" s="11">
        <v>826.67</v>
      </c>
      <c r="K39" s="15" t="s">
        <v>76</v>
      </c>
      <c r="L39" s="16"/>
      <c r="M39" s="3"/>
      <c r="N39" s="3"/>
      <c r="O39" s="3"/>
      <c r="P39" s="3"/>
      <c r="Q39" s="3"/>
      <c r="R39" s="3"/>
      <c r="S39" s="3"/>
    </row>
    <row r="40" ht="15.75" customHeight="1">
      <c r="A40" s="9" t="s">
        <v>225</v>
      </c>
      <c r="B40" s="9" t="s">
        <v>226</v>
      </c>
      <c r="C40" s="9" t="s">
        <v>227</v>
      </c>
      <c r="D40" s="9" t="s">
        <v>82</v>
      </c>
      <c r="E40" s="9" t="s">
        <v>228</v>
      </c>
      <c r="F40" s="9" t="s">
        <v>51</v>
      </c>
      <c r="G40" s="9" t="s">
        <v>52</v>
      </c>
      <c r="H40" s="9" t="s">
        <v>84</v>
      </c>
      <c r="I40" s="9" t="s">
        <v>85</v>
      </c>
      <c r="J40" s="11">
        <v>699.3</v>
      </c>
      <c r="K40" s="15" t="s">
        <v>76</v>
      </c>
      <c r="L40" s="16"/>
      <c r="M40" s="3"/>
      <c r="N40" s="3"/>
      <c r="O40" s="3"/>
      <c r="P40" s="3"/>
      <c r="Q40" s="3"/>
      <c r="R40" s="3"/>
      <c r="S40" s="3"/>
    </row>
    <row r="41" ht="15.75" customHeight="1">
      <c r="A41" s="9" t="s">
        <v>230</v>
      </c>
      <c r="B41" s="9" t="s">
        <v>232</v>
      </c>
      <c r="C41" s="9" t="s">
        <v>234</v>
      </c>
      <c r="D41" s="9" t="s">
        <v>235</v>
      </c>
      <c r="E41" s="9" t="s">
        <v>236</v>
      </c>
      <c r="F41" s="9" t="s">
        <v>100</v>
      </c>
      <c r="G41" s="9" t="s">
        <v>52</v>
      </c>
      <c r="H41" s="9" t="s">
        <v>237</v>
      </c>
      <c r="I41" s="9" t="s">
        <v>238</v>
      </c>
      <c r="J41" s="11">
        <v>719.6</v>
      </c>
      <c r="K41" s="15" t="s">
        <v>76</v>
      </c>
      <c r="L41" s="16"/>
      <c r="M41" s="3"/>
      <c r="N41" s="3"/>
      <c r="O41" s="3"/>
      <c r="P41" s="3"/>
      <c r="Q41" s="3"/>
      <c r="R41" s="3"/>
      <c r="S41" s="3"/>
    </row>
    <row r="42" ht="15.75" customHeight="1">
      <c r="A42" s="9" t="s">
        <v>239</v>
      </c>
      <c r="B42" s="9" t="s">
        <v>240</v>
      </c>
      <c r="C42" s="9" t="s">
        <v>241</v>
      </c>
      <c r="D42" s="9" t="s">
        <v>152</v>
      </c>
      <c r="E42" s="9" t="s">
        <v>242</v>
      </c>
      <c r="F42" s="9" t="s">
        <v>100</v>
      </c>
      <c r="G42" s="9" t="s">
        <v>52</v>
      </c>
      <c r="H42" s="9" t="s">
        <v>155</v>
      </c>
      <c r="I42" s="9" t="s">
        <v>156</v>
      </c>
      <c r="J42" s="11">
        <v>699.5</v>
      </c>
      <c r="K42" s="15" t="s">
        <v>76</v>
      </c>
      <c r="L42" s="16"/>
      <c r="M42" s="3"/>
      <c r="N42" s="3"/>
      <c r="O42" s="3"/>
      <c r="P42" s="3"/>
      <c r="Q42" s="3"/>
      <c r="R42" s="3"/>
      <c r="S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L2"/>
    <mergeCell ref="B3:L3"/>
    <mergeCell ref="B4:L4"/>
  </mergeCells>
  <dataValidations>
    <dataValidation type="list" allowBlank="1" sqref="K7:K42">
      <formula1>"Keep credit - restore line,Cancel credit"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12.0"/>
    <col customWidth="1" min="4" max="4" width="9.0"/>
    <col customWidth="1" min="5" max="5" width="24.0"/>
    <col customWidth="1" min="6" max="6" width="12.0"/>
    <col customWidth="1" min="7" max="7" width="60.0"/>
    <col customWidth="1" min="8" max="8" width="22.0"/>
    <col customWidth="1" min="9" max="9" width="30.0"/>
    <col customWidth="1" min="10" max="26" width="8.71"/>
  </cols>
  <sheetData>
    <row r="1">
      <c r="A1" s="1" t="s">
        <v>250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251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252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253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21</v>
      </c>
      <c r="B6" s="7" t="s">
        <v>24</v>
      </c>
      <c r="C6" s="7" t="s">
        <v>23</v>
      </c>
      <c r="D6" s="7" t="s">
        <v>254</v>
      </c>
      <c r="E6" s="7" t="s">
        <v>255</v>
      </c>
      <c r="F6" s="7" t="s">
        <v>70</v>
      </c>
      <c r="G6" s="7" t="s">
        <v>256</v>
      </c>
      <c r="H6" s="8" t="s">
        <v>14</v>
      </c>
      <c r="I6" s="8" t="s">
        <v>40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257</v>
      </c>
      <c r="B7" s="9" t="s">
        <v>259</v>
      </c>
      <c r="C7" s="9" t="s">
        <v>260</v>
      </c>
      <c r="D7" s="9" t="s">
        <v>261</v>
      </c>
      <c r="E7" s="9" t="s">
        <v>262</v>
      </c>
      <c r="F7" s="11">
        <v>33.2</v>
      </c>
      <c r="G7" s="9" t="s">
        <v>263</v>
      </c>
      <c r="H7" s="15" t="s">
        <v>264</v>
      </c>
      <c r="I7" s="15" t="s">
        <v>265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 t="s">
        <v>267</v>
      </c>
      <c r="B8" s="9" t="s">
        <v>268</v>
      </c>
      <c r="C8" s="9" t="s">
        <v>269</v>
      </c>
      <c r="D8" s="9" t="s">
        <v>270</v>
      </c>
      <c r="E8" s="9" t="s">
        <v>271</v>
      </c>
      <c r="F8" s="11">
        <v>396.43</v>
      </c>
      <c r="G8" s="9" t="s">
        <v>272</v>
      </c>
      <c r="H8" s="15" t="s">
        <v>273</v>
      </c>
      <c r="I8" s="15" t="s">
        <v>275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9" t="s">
        <v>276</v>
      </c>
      <c r="B9" s="9" t="s">
        <v>150</v>
      </c>
      <c r="C9" s="9" t="s">
        <v>277</v>
      </c>
      <c r="D9" s="9" t="s">
        <v>270</v>
      </c>
      <c r="E9" s="9" t="s">
        <v>279</v>
      </c>
      <c r="F9" s="11">
        <v>94.97</v>
      </c>
      <c r="G9" s="9" t="s">
        <v>272</v>
      </c>
      <c r="H9" s="15" t="s">
        <v>273</v>
      </c>
      <c r="I9" s="15" t="s">
        <v>280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9" t="s">
        <v>281</v>
      </c>
      <c r="B10" s="9" t="s">
        <v>150</v>
      </c>
      <c r="C10" s="9" t="s">
        <v>282</v>
      </c>
      <c r="D10" s="9" t="s">
        <v>270</v>
      </c>
      <c r="E10" s="9" t="s">
        <v>283</v>
      </c>
      <c r="F10" s="11">
        <v>94.97</v>
      </c>
      <c r="G10" s="9" t="s">
        <v>272</v>
      </c>
      <c r="H10" s="15" t="s">
        <v>273</v>
      </c>
      <c r="I10" s="15" t="s">
        <v>284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9" t="s">
        <v>285</v>
      </c>
      <c r="B11" s="9" t="s">
        <v>286</v>
      </c>
      <c r="C11" s="9" t="s">
        <v>287</v>
      </c>
      <c r="D11" s="9" t="s">
        <v>270</v>
      </c>
      <c r="E11" s="9" t="s">
        <v>288</v>
      </c>
      <c r="F11" s="11">
        <v>120.0</v>
      </c>
      <c r="G11" s="9" t="s">
        <v>272</v>
      </c>
      <c r="H11" s="15" t="s">
        <v>273</v>
      </c>
      <c r="I11" s="15" t="s">
        <v>284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9" t="s">
        <v>290</v>
      </c>
      <c r="B12" s="9" t="s">
        <v>150</v>
      </c>
      <c r="C12" s="9" t="s">
        <v>291</v>
      </c>
      <c r="D12" s="9" t="s">
        <v>270</v>
      </c>
      <c r="E12" s="9" t="s">
        <v>283</v>
      </c>
      <c r="F12" s="11">
        <v>114.97</v>
      </c>
      <c r="G12" s="9" t="s">
        <v>272</v>
      </c>
      <c r="H12" s="15" t="s">
        <v>273</v>
      </c>
      <c r="I12" s="15" t="s">
        <v>284</v>
      </c>
      <c r="J12" s="19"/>
      <c r="K12" s="3"/>
      <c r="L12" s="3"/>
      <c r="M12" s="3"/>
      <c r="N12" s="3"/>
      <c r="O12" s="3"/>
      <c r="P12" s="3"/>
      <c r="Q12" s="3"/>
      <c r="R12" s="3"/>
      <c r="S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I2"/>
    <mergeCell ref="B3:I3"/>
    <mergeCell ref="B4:I4"/>
  </mergeCells>
  <dataValidations>
    <dataValidation type="list" allowBlank="1" sqref="H7:H12">
      <formula1>"Cancel,Keep"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0.0"/>
    <col customWidth="1" min="4" max="4" width="13.0"/>
    <col customWidth="1" min="5" max="5" width="24.0"/>
    <col customWidth="1" min="6" max="6" width="14.0"/>
    <col customWidth="1" min="7" max="7" width="16.0"/>
    <col customWidth="1" min="8" max="8" width="22.0"/>
    <col customWidth="1" min="9" max="9" width="30.0"/>
    <col customWidth="1" min="10" max="26" width="8.71"/>
  </cols>
  <sheetData>
    <row r="1">
      <c r="A1" s="1" t="s">
        <v>258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266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274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278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23</v>
      </c>
      <c r="B6" s="7" t="s">
        <v>24</v>
      </c>
      <c r="C6" s="7" t="s">
        <v>28</v>
      </c>
      <c r="D6" s="7" t="s">
        <v>32</v>
      </c>
      <c r="E6" s="7" t="s">
        <v>34</v>
      </c>
      <c r="F6" s="7" t="s">
        <v>33</v>
      </c>
      <c r="G6" s="7" t="s">
        <v>289</v>
      </c>
      <c r="H6" s="8" t="s">
        <v>14</v>
      </c>
      <c r="I6" s="8" t="s">
        <v>40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292</v>
      </c>
      <c r="B7" s="9" t="s">
        <v>286</v>
      </c>
      <c r="C7" s="9" t="s">
        <v>293</v>
      </c>
      <c r="D7" s="9" t="s">
        <v>52</v>
      </c>
      <c r="E7" s="9" t="s">
        <v>53</v>
      </c>
      <c r="F7" s="11">
        <v>1800.0</v>
      </c>
      <c r="G7" s="11">
        <f>ROUND(F7*23/30,2)</f>
        <v>1380</v>
      </c>
      <c r="H7" s="16"/>
      <c r="I7" s="16"/>
      <c r="J7" s="3"/>
      <c r="K7" s="3"/>
      <c r="L7" s="3"/>
      <c r="M7" s="3"/>
      <c r="N7" s="3"/>
      <c r="O7" s="3"/>
      <c r="P7" s="3"/>
      <c r="Q7" s="3"/>
      <c r="R7" s="3"/>
      <c r="S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I2"/>
    <mergeCell ref="B3:I3"/>
    <mergeCell ref="B4:I4"/>
  </mergeCells>
  <dataValidations>
    <dataValidation type="list" allowBlank="1" sqref="H7">
      <formula1>"Yes - credit,No - Zoho billed only to 7 Sep"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36.0"/>
    <col customWidth="1" min="3" max="3" width="18.0"/>
    <col customWidth="1" min="4" max="4" width="16.0"/>
    <col customWidth="1" min="5" max="5" width="18.0"/>
    <col customWidth="1" min="6" max="6" width="22.0"/>
    <col customWidth="1" min="7" max="7" width="30.0"/>
    <col customWidth="1" min="8" max="26" width="8.71"/>
  </cols>
  <sheetData>
    <row r="1">
      <c r="A1" s="1" t="s">
        <v>294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295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297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298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302</v>
      </c>
      <c r="B6" s="7" t="s">
        <v>24</v>
      </c>
      <c r="C6" s="7" t="s">
        <v>303</v>
      </c>
      <c r="D6" s="7" t="s">
        <v>304</v>
      </c>
      <c r="E6" s="7" t="s">
        <v>305</v>
      </c>
      <c r="F6" s="8" t="s">
        <v>14</v>
      </c>
      <c r="G6" s="8" t="s">
        <v>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>
        <v>52.0</v>
      </c>
      <c r="B7" s="9" t="s">
        <v>310</v>
      </c>
      <c r="C7" s="11">
        <v>999.0</v>
      </c>
      <c r="D7" s="11">
        <v>3196.8</v>
      </c>
      <c r="E7" s="11">
        <f t="shared" ref="E7:E9" si="1">MAX(0,D7-C7)</f>
        <v>2197.8</v>
      </c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>
        <v>200.0</v>
      </c>
      <c r="B8" s="9" t="s">
        <v>327</v>
      </c>
      <c r="C8" s="11">
        <v>2899.0</v>
      </c>
      <c r="D8" s="11">
        <v>4445.14</v>
      </c>
      <c r="E8" s="11">
        <f t="shared" si="1"/>
        <v>1546.14</v>
      </c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9">
        <v>986.0</v>
      </c>
      <c r="B9" s="9" t="s">
        <v>335</v>
      </c>
      <c r="C9" s="11">
        <v>1500.0</v>
      </c>
      <c r="D9" s="11">
        <v>1679.86</v>
      </c>
      <c r="E9" s="11">
        <f t="shared" si="1"/>
        <v>179.86</v>
      </c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G2"/>
    <mergeCell ref="B3:G3"/>
    <mergeCell ref="B4:G4"/>
  </mergeCells>
  <dataValidations>
    <dataValidation type="list" allowBlank="1" sqref="F7:F9">
      <formula1>"Carry forward,Refund,Drop"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32.0"/>
    <col customWidth="1" min="4" max="4" width="14.0"/>
    <col customWidth="1" min="5" max="6" width="12.0"/>
    <col customWidth="1" min="7" max="8" width="22.0"/>
    <col customWidth="1" min="9" max="9" width="30.0"/>
    <col customWidth="1" min="10" max="26" width="8.71"/>
  </cols>
  <sheetData>
    <row r="1">
      <c r="A1" s="1" t="s">
        <v>296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299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300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301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23</v>
      </c>
      <c r="B6" s="7" t="s">
        <v>306</v>
      </c>
      <c r="C6" s="7" t="s">
        <v>24</v>
      </c>
      <c r="D6" s="7" t="s">
        <v>307</v>
      </c>
      <c r="E6" s="7" t="s">
        <v>33</v>
      </c>
      <c r="F6" s="7" t="s">
        <v>308</v>
      </c>
      <c r="G6" s="7" t="s">
        <v>309</v>
      </c>
      <c r="H6" s="8" t="s">
        <v>14</v>
      </c>
      <c r="I6" s="8" t="s">
        <v>40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311</v>
      </c>
      <c r="B7" s="9" t="s">
        <v>312</v>
      </c>
      <c r="C7" s="9" t="s">
        <v>313</v>
      </c>
      <c r="D7" s="9"/>
      <c r="E7" s="11">
        <v>1250.0</v>
      </c>
      <c r="F7" s="9"/>
      <c r="G7" s="9" t="s">
        <v>314</v>
      </c>
      <c r="H7" s="16"/>
      <c r="I7" s="16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 t="s">
        <v>315</v>
      </c>
      <c r="B8" s="9" t="s">
        <v>316</v>
      </c>
      <c r="C8" s="9" t="s">
        <v>317</v>
      </c>
      <c r="D8" s="9"/>
      <c r="E8" s="11">
        <v>1.0</v>
      </c>
      <c r="F8" s="9"/>
      <c r="G8" s="9" t="s">
        <v>314</v>
      </c>
      <c r="H8" s="16"/>
      <c r="I8" s="16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9" t="s">
        <v>318</v>
      </c>
      <c r="B9" s="9" t="s">
        <v>319</v>
      </c>
      <c r="C9" s="9" t="s">
        <v>313</v>
      </c>
      <c r="D9" s="9"/>
      <c r="E9" s="11">
        <v>1250.0</v>
      </c>
      <c r="F9" s="9"/>
      <c r="G9" s="9" t="s">
        <v>314</v>
      </c>
      <c r="H9" s="16"/>
      <c r="I9" s="16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9" t="s">
        <v>320</v>
      </c>
      <c r="B10" s="9" t="s">
        <v>321</v>
      </c>
      <c r="C10" s="9" t="s">
        <v>322</v>
      </c>
      <c r="D10" s="9" t="s">
        <v>323</v>
      </c>
      <c r="E10" s="11">
        <v>0.0</v>
      </c>
      <c r="F10" s="9" t="s">
        <v>324</v>
      </c>
      <c r="G10" s="9" t="s">
        <v>325</v>
      </c>
      <c r="H10" s="16"/>
      <c r="I10" s="16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9" t="s">
        <v>326</v>
      </c>
      <c r="B11" s="9" t="s">
        <v>328</v>
      </c>
      <c r="C11" s="9" t="s">
        <v>329</v>
      </c>
      <c r="D11" s="9"/>
      <c r="E11" s="11"/>
      <c r="F11" s="9"/>
      <c r="G11" s="9" t="s">
        <v>330</v>
      </c>
      <c r="H11" s="16"/>
      <c r="I11" s="16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9" t="s">
        <v>331</v>
      </c>
      <c r="B12" s="9" t="s">
        <v>332</v>
      </c>
      <c r="C12" s="9" t="s">
        <v>333</v>
      </c>
      <c r="D12" s="9" t="s">
        <v>334</v>
      </c>
      <c r="E12" s="11">
        <v>0.0</v>
      </c>
      <c r="F12" s="9"/>
      <c r="G12" s="9" t="s">
        <v>330</v>
      </c>
      <c r="H12" s="16"/>
      <c r="I12" s="16"/>
      <c r="J12" s="3"/>
      <c r="K12" s="3"/>
      <c r="L12" s="3"/>
      <c r="M12" s="3"/>
      <c r="N12" s="3"/>
      <c r="O12" s="3"/>
      <c r="P12" s="3"/>
      <c r="Q12" s="3"/>
      <c r="R12" s="3"/>
      <c r="S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I2"/>
    <mergeCell ref="B3:I3"/>
    <mergeCell ref="B4:I4"/>
  </mergeCells>
  <dataValidations>
    <dataValidation type="list" allowBlank="1" sqref="H7:H12">
      <formula1>"Bill - value in Remarks,Free,Not with customer"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36.0"/>
    <col customWidth="1" min="4" max="4" width="16.0"/>
    <col customWidth="1" min="5" max="5" width="10.0"/>
    <col customWidth="1" min="6" max="6" width="22.0"/>
    <col customWidth="1" min="7" max="7" width="30.0"/>
    <col customWidth="1" min="8" max="26" width="8.71"/>
  </cols>
  <sheetData>
    <row r="1">
      <c r="A1" s="1" t="s">
        <v>336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337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338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339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23</v>
      </c>
      <c r="B6" s="7" t="s">
        <v>306</v>
      </c>
      <c r="C6" s="7" t="s">
        <v>24</v>
      </c>
      <c r="D6" s="7" t="s">
        <v>307</v>
      </c>
      <c r="E6" s="7" t="s">
        <v>341</v>
      </c>
      <c r="F6" s="8" t="s">
        <v>14</v>
      </c>
      <c r="G6" s="8" t="s">
        <v>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342</v>
      </c>
      <c r="B7" s="9" t="s">
        <v>343</v>
      </c>
      <c r="C7" s="9" t="s">
        <v>209</v>
      </c>
      <c r="D7" s="9" t="s">
        <v>344</v>
      </c>
      <c r="E7" s="11">
        <v>1.0</v>
      </c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 t="s">
        <v>349</v>
      </c>
      <c r="B8" s="9" t="s">
        <v>350</v>
      </c>
      <c r="C8" s="9" t="s">
        <v>209</v>
      </c>
      <c r="D8" s="9" t="s">
        <v>351</v>
      </c>
      <c r="E8" s="11">
        <v>1.0</v>
      </c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9" t="s">
        <v>352</v>
      </c>
      <c r="B9" s="9" t="s">
        <v>353</v>
      </c>
      <c r="C9" s="9" t="s">
        <v>354</v>
      </c>
      <c r="D9" s="9"/>
      <c r="E9" s="11">
        <v>1.0</v>
      </c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9" t="s">
        <v>352</v>
      </c>
      <c r="B10" s="9" t="s">
        <v>359</v>
      </c>
      <c r="C10" s="9" t="s">
        <v>354</v>
      </c>
      <c r="D10" s="9"/>
      <c r="E10" s="11">
        <v>1.0</v>
      </c>
      <c r="F10" s="16"/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9" t="s">
        <v>362</v>
      </c>
      <c r="B11" s="9" t="s">
        <v>364</v>
      </c>
      <c r="C11" s="9" t="s">
        <v>43</v>
      </c>
      <c r="D11" s="9" t="s">
        <v>366</v>
      </c>
      <c r="E11" s="11">
        <v>1.0</v>
      </c>
      <c r="F11" s="16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9" t="s">
        <v>320</v>
      </c>
      <c r="B12" s="9" t="s">
        <v>321</v>
      </c>
      <c r="C12" s="9" t="s">
        <v>322</v>
      </c>
      <c r="D12" s="9" t="s">
        <v>323</v>
      </c>
      <c r="E12" s="11">
        <v>0.0</v>
      </c>
      <c r="F12" s="16"/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9" t="s">
        <v>352</v>
      </c>
      <c r="B13" s="9" t="s">
        <v>372</v>
      </c>
      <c r="C13" s="9" t="s">
        <v>374</v>
      </c>
      <c r="D13" s="9"/>
      <c r="E13" s="11">
        <v>1.0</v>
      </c>
      <c r="F13" s="16"/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9" t="s">
        <v>381</v>
      </c>
      <c r="B14" s="9" t="s">
        <v>382</v>
      </c>
      <c r="C14" s="9" t="s">
        <v>384</v>
      </c>
      <c r="D14" s="9"/>
      <c r="E14" s="11">
        <v>1.0</v>
      </c>
      <c r="F14" s="16"/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9" t="s">
        <v>392</v>
      </c>
      <c r="B15" s="9" t="s">
        <v>393</v>
      </c>
      <c r="C15" s="9" t="s">
        <v>384</v>
      </c>
      <c r="D15" s="9"/>
      <c r="E15" s="11">
        <v>1.0</v>
      </c>
      <c r="F15" s="16"/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9" t="s">
        <v>394</v>
      </c>
      <c r="B16" s="9" t="s">
        <v>395</v>
      </c>
      <c r="C16" s="9" t="s">
        <v>384</v>
      </c>
      <c r="D16" s="9"/>
      <c r="E16" s="11">
        <v>1.0</v>
      </c>
      <c r="F16" s="16"/>
      <c r="G16" s="1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9" t="s">
        <v>397</v>
      </c>
      <c r="B17" s="9" t="s">
        <v>399</v>
      </c>
      <c r="C17" s="9" t="s">
        <v>384</v>
      </c>
      <c r="D17" s="9"/>
      <c r="E17" s="11">
        <v>1.0</v>
      </c>
      <c r="F17" s="16"/>
      <c r="G17" s="1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9" t="s">
        <v>402</v>
      </c>
      <c r="B18" s="9" t="s">
        <v>403</v>
      </c>
      <c r="C18" s="9" t="s">
        <v>317</v>
      </c>
      <c r="D18" s="9" t="s">
        <v>404</v>
      </c>
      <c r="E18" s="11">
        <v>1.0</v>
      </c>
      <c r="F18" s="16"/>
      <c r="G18" s="1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9" t="s">
        <v>371</v>
      </c>
      <c r="B19" s="9" t="s">
        <v>405</v>
      </c>
      <c r="C19" s="9" t="s">
        <v>317</v>
      </c>
      <c r="D19" s="9" t="s">
        <v>406</v>
      </c>
      <c r="E19" s="11">
        <v>1.0</v>
      </c>
      <c r="F19" s="16"/>
      <c r="G19" s="1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9" t="s">
        <v>409</v>
      </c>
      <c r="B20" s="9" t="s">
        <v>410</v>
      </c>
      <c r="C20" s="9" t="s">
        <v>317</v>
      </c>
      <c r="D20" s="9" t="s">
        <v>411</v>
      </c>
      <c r="E20" s="11">
        <v>1.0</v>
      </c>
      <c r="F20" s="16"/>
      <c r="G20" s="1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9" t="s">
        <v>413</v>
      </c>
      <c r="B21" s="9" t="s">
        <v>414</v>
      </c>
      <c r="C21" s="9" t="s">
        <v>317</v>
      </c>
      <c r="D21" s="9" t="s">
        <v>415</v>
      </c>
      <c r="E21" s="11">
        <v>1.0</v>
      </c>
      <c r="F21" s="16"/>
      <c r="G21" s="1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9" t="s">
        <v>416</v>
      </c>
      <c r="B22" s="9" t="s">
        <v>417</v>
      </c>
      <c r="C22" s="9" t="s">
        <v>317</v>
      </c>
      <c r="D22" s="9" t="s">
        <v>418</v>
      </c>
      <c r="E22" s="11">
        <v>1.0</v>
      </c>
      <c r="F22" s="16"/>
      <c r="G22" s="1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9" t="s">
        <v>421</v>
      </c>
      <c r="B23" s="9" t="s">
        <v>422</v>
      </c>
      <c r="C23" s="9" t="s">
        <v>317</v>
      </c>
      <c r="D23" s="9" t="s">
        <v>423</v>
      </c>
      <c r="E23" s="11">
        <v>1.0</v>
      </c>
      <c r="F23" s="16"/>
      <c r="G23" s="1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9" t="s">
        <v>425</v>
      </c>
      <c r="B24" s="9" t="s">
        <v>426</v>
      </c>
      <c r="C24" s="9" t="s">
        <v>317</v>
      </c>
      <c r="D24" s="9" t="s">
        <v>427</v>
      </c>
      <c r="E24" s="11">
        <v>1.0</v>
      </c>
      <c r="F24" s="16"/>
      <c r="G24" s="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9" t="s">
        <v>429</v>
      </c>
      <c r="B25" s="9" t="s">
        <v>430</v>
      </c>
      <c r="C25" s="9" t="s">
        <v>317</v>
      </c>
      <c r="D25" s="9" t="s">
        <v>431</v>
      </c>
      <c r="E25" s="11">
        <v>1.0</v>
      </c>
      <c r="F25" s="16"/>
      <c r="G25" s="1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9" t="s">
        <v>433</v>
      </c>
      <c r="B26" s="9" t="s">
        <v>434</v>
      </c>
      <c r="C26" s="9" t="s">
        <v>317</v>
      </c>
      <c r="D26" s="9" t="s">
        <v>435</v>
      </c>
      <c r="E26" s="11">
        <v>1.0</v>
      </c>
      <c r="F26" s="16"/>
      <c r="G26" s="1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9" t="s">
        <v>315</v>
      </c>
      <c r="B27" s="9" t="s">
        <v>316</v>
      </c>
      <c r="C27" s="9" t="s">
        <v>317</v>
      </c>
      <c r="D27" s="9"/>
      <c r="E27" s="11">
        <v>1.0</v>
      </c>
      <c r="F27" s="16"/>
      <c r="G27" s="1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9" t="s">
        <v>436</v>
      </c>
      <c r="B28" s="9" t="s">
        <v>437</v>
      </c>
      <c r="C28" s="9" t="s">
        <v>317</v>
      </c>
      <c r="D28" s="9" t="s">
        <v>438</v>
      </c>
      <c r="E28" s="11">
        <v>1.0</v>
      </c>
      <c r="F28" s="16"/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9" t="s">
        <v>439</v>
      </c>
      <c r="B29" s="9" t="s">
        <v>440</v>
      </c>
      <c r="C29" s="9" t="s">
        <v>441</v>
      </c>
      <c r="D29" s="9" t="s">
        <v>442</v>
      </c>
      <c r="E29" s="11">
        <v>1.0</v>
      </c>
      <c r="F29" s="16"/>
      <c r="G29" s="1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9" t="s">
        <v>331</v>
      </c>
      <c r="B30" s="9" t="s">
        <v>332</v>
      </c>
      <c r="C30" s="9" t="s">
        <v>333</v>
      </c>
      <c r="D30" s="9" t="s">
        <v>334</v>
      </c>
      <c r="E30" s="11">
        <v>0.0</v>
      </c>
      <c r="F30" s="16"/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9" t="s">
        <v>444</v>
      </c>
      <c r="B31" s="9" t="s">
        <v>445</v>
      </c>
      <c r="C31" s="9" t="s">
        <v>446</v>
      </c>
      <c r="D31" s="9" t="s">
        <v>447</v>
      </c>
      <c r="E31" s="11">
        <v>1.0</v>
      </c>
      <c r="F31" s="16"/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G2"/>
    <mergeCell ref="B3:G3"/>
    <mergeCell ref="B4:G4"/>
  </mergeCells>
  <dataValidations>
    <dataValidation type="list" allowBlank="1" sqref="F7:F31">
      <formula1>"Free - keep Rs 1,Paid - rate in Remarks"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5" width="12.0"/>
    <col customWidth="1" min="6" max="6" width="50.0"/>
    <col customWidth="1" min="7" max="7" width="22.0"/>
    <col customWidth="1" min="8" max="8" width="30.0"/>
    <col customWidth="1" min="9" max="26" width="8.71"/>
  </cols>
  <sheetData>
    <row r="1">
      <c r="A1" s="1" t="s">
        <v>340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345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346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347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23</v>
      </c>
      <c r="B6" s="7" t="s">
        <v>24</v>
      </c>
      <c r="C6" s="7" t="s">
        <v>27</v>
      </c>
      <c r="D6" s="7" t="s">
        <v>355</v>
      </c>
      <c r="E6" s="7" t="s">
        <v>357</v>
      </c>
      <c r="F6" s="7" t="s">
        <v>358</v>
      </c>
      <c r="G6" s="8" t="s">
        <v>14</v>
      </c>
      <c r="H6" s="8" t="s">
        <v>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361</v>
      </c>
      <c r="B7" s="9" t="s">
        <v>363</v>
      </c>
      <c r="C7" s="9" t="s">
        <v>365</v>
      </c>
      <c r="D7" s="11">
        <v>899.0</v>
      </c>
      <c r="E7" s="11">
        <v>689.23</v>
      </c>
      <c r="F7" s="9" t="s">
        <v>368</v>
      </c>
      <c r="G7" s="15" t="s">
        <v>369</v>
      </c>
      <c r="H7" s="15" t="s">
        <v>370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 t="s">
        <v>371</v>
      </c>
      <c r="B8" s="9" t="s">
        <v>317</v>
      </c>
      <c r="C8" s="9" t="s">
        <v>373</v>
      </c>
      <c r="D8" s="11">
        <v>1000.0</v>
      </c>
      <c r="E8" s="11">
        <v>1.0</v>
      </c>
      <c r="F8" s="9" t="s">
        <v>376</v>
      </c>
      <c r="G8" s="15" t="s">
        <v>379</v>
      </c>
      <c r="H8" s="15" t="s">
        <v>380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9" t="s">
        <v>383</v>
      </c>
      <c r="B9" s="9" t="s">
        <v>385</v>
      </c>
      <c r="C9" s="9" t="s">
        <v>387</v>
      </c>
      <c r="D9" s="11">
        <v>15254.0</v>
      </c>
      <c r="E9" s="11">
        <v>984.13</v>
      </c>
      <c r="F9" s="9" t="s">
        <v>389</v>
      </c>
      <c r="G9" s="15" t="s">
        <v>390</v>
      </c>
      <c r="H9" s="15" t="s">
        <v>391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H2"/>
    <mergeCell ref="B3:H3"/>
    <mergeCell ref="B4:H4"/>
  </mergeCells>
  <dataValidations>
    <dataValidation type="list" allowBlank="1" sqref="G7:G9">
      <formula1>"Billed rate right,SO rate right,Other - Remarks"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40.0"/>
    <col customWidth="1" min="3" max="3" width="18.0"/>
    <col customWidth="1" min="4" max="4" width="16.0"/>
    <col customWidth="1" min="5" max="5" width="50.0"/>
    <col customWidth="1" min="6" max="6" width="22.0"/>
    <col customWidth="1" min="7" max="7" width="30.0"/>
    <col customWidth="1" min="8" max="26" width="8.71"/>
  </cols>
  <sheetData>
    <row r="1">
      <c r="A1" s="1" t="s">
        <v>348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356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360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367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302</v>
      </c>
      <c r="B6" s="7" t="s">
        <v>24</v>
      </c>
      <c r="C6" s="7" t="s">
        <v>375</v>
      </c>
      <c r="D6" s="7" t="s">
        <v>377</v>
      </c>
      <c r="E6" s="7" t="s">
        <v>378</v>
      </c>
      <c r="F6" s="8" t="s">
        <v>14</v>
      </c>
      <c r="G6" s="8" t="s">
        <v>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>
        <v>966.0</v>
      </c>
      <c r="B7" s="9" t="s">
        <v>386</v>
      </c>
      <c r="C7" s="9"/>
      <c r="D7" s="9"/>
      <c r="E7" s="9" t="s">
        <v>388</v>
      </c>
      <c r="F7" s="16"/>
      <c r="G7" s="15" t="s">
        <v>396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>
        <v>199.0</v>
      </c>
      <c r="B8" s="9" t="s">
        <v>398</v>
      </c>
      <c r="C8" s="9"/>
      <c r="D8" s="9" t="s">
        <v>400</v>
      </c>
      <c r="E8" s="9" t="s">
        <v>401</v>
      </c>
      <c r="F8" s="16"/>
      <c r="G8" s="15" t="s">
        <v>396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9">
        <v>200.0</v>
      </c>
      <c r="B9" s="9" t="s">
        <v>327</v>
      </c>
      <c r="C9" s="9"/>
      <c r="D9" s="9" t="s">
        <v>400</v>
      </c>
      <c r="E9" s="9" t="s">
        <v>401</v>
      </c>
      <c r="F9" s="16"/>
      <c r="G9" s="15" t="s">
        <v>396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9">
        <v>224.0</v>
      </c>
      <c r="B10" s="9" t="s">
        <v>407</v>
      </c>
      <c r="C10" s="9"/>
      <c r="D10" s="9" t="s">
        <v>408</v>
      </c>
      <c r="E10" s="9" t="s">
        <v>401</v>
      </c>
      <c r="F10" s="16"/>
      <c r="G10" s="15" t="s">
        <v>396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9">
        <v>259.0</v>
      </c>
      <c r="B11" s="9" t="s">
        <v>412</v>
      </c>
      <c r="C11" s="9"/>
      <c r="D11" s="9" t="s">
        <v>400</v>
      </c>
      <c r="E11" s="9" t="s">
        <v>401</v>
      </c>
      <c r="F11" s="16"/>
      <c r="G11" s="15" t="s">
        <v>396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9">
        <v>260.0</v>
      </c>
      <c r="B12" s="9" t="s">
        <v>329</v>
      </c>
      <c r="C12" s="9"/>
      <c r="D12" s="9" t="s">
        <v>400</v>
      </c>
      <c r="E12" s="9" t="s">
        <v>401</v>
      </c>
      <c r="F12" s="16"/>
      <c r="G12" s="15" t="s">
        <v>396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9">
        <v>265.0</v>
      </c>
      <c r="B13" s="9" t="s">
        <v>419</v>
      </c>
      <c r="C13" s="9"/>
      <c r="D13" s="9" t="s">
        <v>420</v>
      </c>
      <c r="E13" s="9" t="s">
        <v>401</v>
      </c>
      <c r="F13" s="16"/>
      <c r="G13" s="15" t="s">
        <v>396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9">
        <v>219.0</v>
      </c>
      <c r="B14" s="9" t="s">
        <v>424</v>
      </c>
      <c r="C14" s="9"/>
      <c r="D14" s="9" t="s">
        <v>408</v>
      </c>
      <c r="E14" s="9" t="s">
        <v>401</v>
      </c>
      <c r="F14" s="16"/>
      <c r="G14" s="15" t="s">
        <v>396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9">
        <v>196.0</v>
      </c>
      <c r="B15" s="9" t="s">
        <v>428</v>
      </c>
      <c r="C15" s="9"/>
      <c r="D15" s="9" t="s">
        <v>420</v>
      </c>
      <c r="E15" s="9" t="s">
        <v>401</v>
      </c>
      <c r="F15" s="16"/>
      <c r="G15" s="15" t="s">
        <v>396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9">
        <v>220.0</v>
      </c>
      <c r="B16" s="9" t="s">
        <v>432</v>
      </c>
      <c r="C16" s="9"/>
      <c r="D16" s="9" t="s">
        <v>408</v>
      </c>
      <c r="E16" s="9" t="s">
        <v>401</v>
      </c>
      <c r="F16" s="16"/>
      <c r="G16" s="15" t="s">
        <v>396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G2"/>
    <mergeCell ref="B3:G3"/>
    <mergeCell ref="B4:G4"/>
  </mergeCells>
  <dataValidations>
    <dataValidation type="list" allowBlank="1" sqref="F7:F16">
      <formula1>"GSTIN in Remarks,Unregistered - use billing state"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8.0"/>
    <col customWidth="1" min="4" max="4" width="12.0"/>
    <col customWidth="1" min="5" max="5" width="10.0"/>
    <col customWidth="1" min="6" max="6" width="70.0"/>
    <col customWidth="1" min="7" max="7" width="22.0"/>
    <col customWidth="1" min="8" max="8" width="30.0"/>
    <col customWidth="1" min="9" max="26" width="8.71"/>
  </cols>
  <sheetData>
    <row r="1">
      <c r="A1" s="1" t="s">
        <v>443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ht="30.0" customHeight="1">
      <c r="A2" s="4" t="s">
        <v>5</v>
      </c>
      <c r="B2" s="5" t="s">
        <v>448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30.0" customHeight="1">
      <c r="A3" s="4" t="s">
        <v>9</v>
      </c>
      <c r="B3" s="5" t="s">
        <v>449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30.0" customHeight="1">
      <c r="A4" s="4" t="s">
        <v>14</v>
      </c>
      <c r="B4" s="5" t="s">
        <v>450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7" t="s">
        <v>23</v>
      </c>
      <c r="B6" s="7" t="s">
        <v>24</v>
      </c>
      <c r="C6" s="7" t="s">
        <v>451</v>
      </c>
      <c r="D6" s="7" t="s">
        <v>26</v>
      </c>
      <c r="E6" s="7" t="s">
        <v>341</v>
      </c>
      <c r="F6" s="7" t="s">
        <v>358</v>
      </c>
      <c r="G6" s="8" t="s">
        <v>14</v>
      </c>
      <c r="H6" s="8" t="s">
        <v>40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9" t="s">
        <v>452</v>
      </c>
      <c r="B7" s="9" t="s">
        <v>453</v>
      </c>
      <c r="C7" s="9">
        <v>2484.0</v>
      </c>
      <c r="D7" s="9" t="s">
        <v>454</v>
      </c>
      <c r="E7" s="11"/>
      <c r="F7" s="9" t="s">
        <v>455</v>
      </c>
      <c r="G7" s="15" t="s">
        <v>456</v>
      </c>
      <c r="H7" s="15" t="s">
        <v>457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9" t="s">
        <v>458</v>
      </c>
      <c r="B8" s="9" t="s">
        <v>459</v>
      </c>
      <c r="C8" s="9">
        <v>2677.0</v>
      </c>
      <c r="D8" s="9" t="s">
        <v>460</v>
      </c>
      <c r="E8" s="11">
        <v>1699.0</v>
      </c>
      <c r="F8" s="9" t="s">
        <v>461</v>
      </c>
      <c r="G8" s="15" t="s">
        <v>456</v>
      </c>
      <c r="H8" s="15" t="s">
        <v>457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9" t="s">
        <v>462</v>
      </c>
      <c r="B9" s="9" t="s">
        <v>183</v>
      </c>
      <c r="C9" s="9">
        <v>2359.0</v>
      </c>
      <c r="D9" s="9" t="s">
        <v>463</v>
      </c>
      <c r="E9" s="11">
        <v>2999.0</v>
      </c>
      <c r="F9" s="9" t="s">
        <v>464</v>
      </c>
      <c r="G9" s="15" t="s">
        <v>456</v>
      </c>
      <c r="H9" s="15" t="s">
        <v>457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9" t="s">
        <v>465</v>
      </c>
      <c r="B10" s="9" t="s">
        <v>466</v>
      </c>
      <c r="C10" s="9"/>
      <c r="D10" s="9"/>
      <c r="E10" s="11">
        <v>1532.57</v>
      </c>
      <c r="F10" s="9" t="s">
        <v>467</v>
      </c>
      <c r="G10" s="15" t="s">
        <v>456</v>
      </c>
      <c r="H10" s="15" t="s">
        <v>457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H2"/>
    <mergeCell ref="B3:H3"/>
    <mergeCell ref="B4:H4"/>
  </mergeCells>
  <dataValidations>
    <dataValidation type="list" allowBlank="1" sqref="G7:G10">
      <formula1>"Going back - bill,Not going back - close"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42.0"/>
    <col customWidth="1" min="3" max="3" width="9.0"/>
    <col customWidth="1" min="4" max="5" width="11.0"/>
    <col customWidth="1" min="6" max="7" width="15.0"/>
    <col customWidth="1" min="8" max="8" width="13.0"/>
    <col customWidth="1" min="9" max="9" width="12.0"/>
    <col customWidth="1" min="10" max="10" width="15.0"/>
    <col customWidth="1" min="11" max="11" width="14.0"/>
    <col customWidth="1" min="12" max="26" width="8.71"/>
  </cols>
  <sheetData>
    <row r="1">
      <c r="A1" s="1" t="s">
        <v>468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3" t="s">
        <v>469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20" t="s">
        <v>302</v>
      </c>
      <c r="B4" s="20" t="s">
        <v>24</v>
      </c>
      <c r="C4" s="20" t="s">
        <v>254</v>
      </c>
      <c r="D4" s="20" t="s">
        <v>28</v>
      </c>
      <c r="E4" s="20" t="s">
        <v>472</v>
      </c>
      <c r="F4" s="20" t="s">
        <v>473</v>
      </c>
      <c r="G4" s="20" t="s">
        <v>474</v>
      </c>
      <c r="H4" s="20" t="s">
        <v>475</v>
      </c>
      <c r="I4" s="20" t="s">
        <v>476</v>
      </c>
      <c r="J4" s="20" t="s">
        <v>477</v>
      </c>
      <c r="K4" s="20" t="s">
        <v>304</v>
      </c>
    </row>
    <row r="5">
      <c r="A5" s="14">
        <v>48.0</v>
      </c>
      <c r="B5" s="14" t="s">
        <v>163</v>
      </c>
      <c r="C5" s="14" t="s">
        <v>478</v>
      </c>
      <c r="D5" s="14" t="s">
        <v>479</v>
      </c>
      <c r="E5" s="14">
        <v>213.0</v>
      </c>
      <c r="F5" s="17">
        <v>1004097.0</v>
      </c>
      <c r="G5" s="17">
        <v>12436.29</v>
      </c>
      <c r="H5" s="17">
        <v>0.0</v>
      </c>
      <c r="I5" s="17">
        <v>0.0</v>
      </c>
      <c r="J5" s="17">
        <f t="shared" ref="J5:J211" si="1">SUM(F5:I5)</f>
        <v>1016533.29</v>
      </c>
      <c r="K5" s="17">
        <v>23631.67</v>
      </c>
    </row>
    <row r="6">
      <c r="A6" s="14">
        <v>94.0</v>
      </c>
      <c r="B6" s="14" t="s">
        <v>128</v>
      </c>
      <c r="C6" s="14" t="s">
        <v>478</v>
      </c>
      <c r="D6" s="14" t="s">
        <v>479</v>
      </c>
      <c r="E6" s="14">
        <v>174.0</v>
      </c>
      <c r="F6" s="17">
        <v>454626.0</v>
      </c>
      <c r="G6" s="17">
        <v>1122.89</v>
      </c>
      <c r="H6" s="17">
        <v>0.0</v>
      </c>
      <c r="I6" s="17">
        <v>0.0</v>
      </c>
      <c r="J6" s="17">
        <f t="shared" si="1"/>
        <v>455748.89</v>
      </c>
      <c r="K6" s="17">
        <v>16576.96</v>
      </c>
    </row>
    <row r="7">
      <c r="A7" s="14">
        <v>108.0</v>
      </c>
      <c r="B7" s="14" t="s">
        <v>150</v>
      </c>
      <c r="C7" s="14" t="s">
        <v>478</v>
      </c>
      <c r="D7" s="14" t="s">
        <v>479</v>
      </c>
      <c r="E7" s="14">
        <v>87.0</v>
      </c>
      <c r="F7" s="17">
        <v>342521.0</v>
      </c>
      <c r="G7" s="17">
        <v>12619.94</v>
      </c>
      <c r="H7" s="17">
        <v>0.0</v>
      </c>
      <c r="I7" s="17">
        <v>0.0</v>
      </c>
      <c r="J7" s="17">
        <f t="shared" si="1"/>
        <v>355140.94</v>
      </c>
      <c r="K7" s="17">
        <v>7429.41</v>
      </c>
    </row>
    <row r="8">
      <c r="A8" s="14">
        <v>22.0</v>
      </c>
      <c r="B8" s="14" t="s">
        <v>501</v>
      </c>
      <c r="C8" s="14" t="s">
        <v>478</v>
      </c>
      <c r="D8" s="14" t="s">
        <v>479</v>
      </c>
      <c r="E8" s="14">
        <v>64.0</v>
      </c>
      <c r="F8" s="17">
        <v>267848.0</v>
      </c>
      <c r="G8" s="17">
        <v>22750.95</v>
      </c>
      <c r="H8" s="17">
        <v>0.0</v>
      </c>
      <c r="I8" s="17">
        <v>37394.0</v>
      </c>
      <c r="J8" s="17">
        <f t="shared" si="1"/>
        <v>327992.95</v>
      </c>
      <c r="K8" s="17">
        <v>1799.53</v>
      </c>
    </row>
    <row r="9">
      <c r="A9" s="14">
        <v>106.0</v>
      </c>
      <c r="B9" s="14" t="s">
        <v>190</v>
      </c>
      <c r="C9" s="14" t="s">
        <v>478</v>
      </c>
      <c r="D9" s="14" t="s">
        <v>479</v>
      </c>
      <c r="E9" s="14">
        <v>50.0</v>
      </c>
      <c r="F9" s="17">
        <v>290349.0</v>
      </c>
      <c r="G9" s="17">
        <v>31667.3</v>
      </c>
      <c r="H9" s="17">
        <v>0.0</v>
      </c>
      <c r="I9" s="17">
        <v>0.0</v>
      </c>
      <c r="J9" s="17">
        <f t="shared" si="1"/>
        <v>322016.3</v>
      </c>
      <c r="K9" s="17">
        <v>8348.8</v>
      </c>
    </row>
    <row r="10">
      <c r="A10" s="14">
        <v>41.0</v>
      </c>
      <c r="B10" s="14" t="s">
        <v>209</v>
      </c>
      <c r="C10" s="14" t="s">
        <v>478</v>
      </c>
      <c r="D10" s="14" t="s">
        <v>479</v>
      </c>
      <c r="E10" s="14">
        <v>101.0</v>
      </c>
      <c r="F10" s="17">
        <v>215409.0</v>
      </c>
      <c r="G10" s="17">
        <v>8486.65</v>
      </c>
      <c r="H10" s="17">
        <v>0.0</v>
      </c>
      <c r="I10" s="17">
        <v>0.0</v>
      </c>
      <c r="J10" s="17">
        <f t="shared" si="1"/>
        <v>223895.65</v>
      </c>
      <c r="K10" s="17">
        <v>1799.1</v>
      </c>
    </row>
    <row r="11">
      <c r="A11" s="14">
        <v>29.0</v>
      </c>
      <c r="B11" s="14" t="s">
        <v>513</v>
      </c>
      <c r="C11" s="14" t="s">
        <v>478</v>
      </c>
      <c r="D11" s="14" t="s">
        <v>479</v>
      </c>
      <c r="E11" s="14">
        <v>120.0</v>
      </c>
      <c r="F11" s="17">
        <v>195062.0</v>
      </c>
      <c r="G11" s="17">
        <v>10079.99</v>
      </c>
      <c r="H11" s="17">
        <v>0.0</v>
      </c>
      <c r="I11" s="17">
        <v>0.0</v>
      </c>
      <c r="J11" s="17">
        <f t="shared" si="1"/>
        <v>205141.99</v>
      </c>
      <c r="K11" s="17">
        <v>499.83</v>
      </c>
    </row>
    <row r="12">
      <c r="A12" s="14">
        <v>983.0</v>
      </c>
      <c r="B12" s="14" t="s">
        <v>519</v>
      </c>
      <c r="C12" s="14" t="s">
        <v>478</v>
      </c>
      <c r="D12" s="14" t="s">
        <v>479</v>
      </c>
      <c r="E12" s="14">
        <v>39.0</v>
      </c>
      <c r="F12" s="17">
        <v>84972.0</v>
      </c>
      <c r="G12" s="17">
        <v>28389.19</v>
      </c>
      <c r="H12" s="17">
        <v>0.0</v>
      </c>
      <c r="I12" s="17">
        <v>76976.0</v>
      </c>
      <c r="J12" s="17">
        <f t="shared" si="1"/>
        <v>190337.19</v>
      </c>
      <c r="K12" s="17">
        <v>0.0</v>
      </c>
    </row>
    <row r="13">
      <c r="A13" s="14">
        <v>101.0</v>
      </c>
      <c r="B13" s="14" t="s">
        <v>43</v>
      </c>
      <c r="C13" s="14" t="s">
        <v>478</v>
      </c>
      <c r="D13" s="14" t="s">
        <v>479</v>
      </c>
      <c r="E13" s="14">
        <v>56.0</v>
      </c>
      <c r="F13" s="17">
        <v>187285.0</v>
      </c>
      <c r="G13" s="17">
        <v>0.0</v>
      </c>
      <c r="H13" s="17">
        <v>0.0</v>
      </c>
      <c r="I13" s="17">
        <v>0.0</v>
      </c>
      <c r="J13" s="17">
        <f t="shared" si="1"/>
        <v>187285</v>
      </c>
      <c r="K13" s="17">
        <v>18031.24</v>
      </c>
    </row>
    <row r="14">
      <c r="A14" s="14">
        <v>256.0</v>
      </c>
      <c r="B14" s="14" t="s">
        <v>216</v>
      </c>
      <c r="C14" s="14" t="s">
        <v>478</v>
      </c>
      <c r="D14" s="14" t="s">
        <v>479</v>
      </c>
      <c r="E14" s="14">
        <v>102.0</v>
      </c>
      <c r="F14" s="17">
        <v>171746.0</v>
      </c>
      <c r="G14" s="17">
        <v>4923.3</v>
      </c>
      <c r="H14" s="17">
        <v>0.0</v>
      </c>
      <c r="I14" s="17">
        <v>0.0</v>
      </c>
      <c r="J14" s="17">
        <f t="shared" si="1"/>
        <v>176669.3</v>
      </c>
      <c r="K14" s="17">
        <v>1586.67</v>
      </c>
    </row>
    <row r="15">
      <c r="A15" s="14">
        <v>120.0</v>
      </c>
      <c r="B15" s="14" t="s">
        <v>322</v>
      </c>
      <c r="C15" s="14" t="s">
        <v>478</v>
      </c>
      <c r="D15" s="14" t="s">
        <v>479</v>
      </c>
      <c r="E15" s="14">
        <v>60.0</v>
      </c>
      <c r="F15" s="17">
        <v>114942.0</v>
      </c>
      <c r="G15" s="17">
        <v>0.0</v>
      </c>
      <c r="H15" s="17">
        <v>0.0</v>
      </c>
      <c r="I15" s="17">
        <v>0.0</v>
      </c>
      <c r="J15" s="17">
        <f t="shared" si="1"/>
        <v>114942</v>
      </c>
      <c r="K15" s="17">
        <v>1066.13</v>
      </c>
    </row>
    <row r="16">
      <c r="A16" s="14">
        <v>72.0</v>
      </c>
      <c r="B16" s="14" t="s">
        <v>313</v>
      </c>
      <c r="C16" s="14" t="s">
        <v>478</v>
      </c>
      <c r="D16" s="14" t="s">
        <v>479</v>
      </c>
      <c r="E16" s="14">
        <v>41.0</v>
      </c>
      <c r="F16" s="17">
        <v>53624.0</v>
      </c>
      <c r="G16" s="17">
        <v>53624.0</v>
      </c>
      <c r="H16" s="17">
        <v>0.0</v>
      </c>
      <c r="I16" s="17">
        <v>0.0</v>
      </c>
      <c r="J16" s="17">
        <f t="shared" si="1"/>
        <v>107248</v>
      </c>
      <c r="K16" s="17">
        <v>0.0</v>
      </c>
    </row>
    <row r="17">
      <c r="A17" s="14">
        <v>122.0</v>
      </c>
      <c r="B17" s="14" t="s">
        <v>286</v>
      </c>
      <c r="C17" s="14" t="s">
        <v>478</v>
      </c>
      <c r="D17" s="14" t="s">
        <v>479</v>
      </c>
      <c r="E17" s="14">
        <v>45.0</v>
      </c>
      <c r="F17" s="17">
        <v>96083.0</v>
      </c>
      <c r="G17" s="17">
        <v>986.33</v>
      </c>
      <c r="H17" s="17">
        <v>0.0</v>
      </c>
      <c r="I17" s="17">
        <v>4200.0</v>
      </c>
      <c r="J17" s="17">
        <f t="shared" si="1"/>
        <v>101269.33</v>
      </c>
      <c r="K17" s="17">
        <v>1179.93</v>
      </c>
    </row>
    <row r="18">
      <c r="A18" s="14">
        <v>1.0</v>
      </c>
      <c r="B18" s="14" t="s">
        <v>527</v>
      </c>
      <c r="C18" s="14" t="s">
        <v>478</v>
      </c>
      <c r="D18" s="14" t="s">
        <v>479</v>
      </c>
      <c r="E18" s="14">
        <v>33.0</v>
      </c>
      <c r="F18" s="17">
        <v>100772.0</v>
      </c>
      <c r="G18" s="17">
        <v>0.0</v>
      </c>
      <c r="H18" s="17">
        <v>0.0</v>
      </c>
      <c r="I18" s="17">
        <v>0.0</v>
      </c>
      <c r="J18" s="17">
        <f t="shared" si="1"/>
        <v>100772</v>
      </c>
      <c r="K18" s="17">
        <v>6667.71</v>
      </c>
    </row>
    <row r="19">
      <c r="A19" s="14">
        <v>111.0</v>
      </c>
      <c r="B19" s="14" t="s">
        <v>549</v>
      </c>
      <c r="C19" s="14" t="s">
        <v>478</v>
      </c>
      <c r="D19" s="14" t="s">
        <v>479</v>
      </c>
      <c r="E19" s="14">
        <v>46.0</v>
      </c>
      <c r="F19" s="17">
        <v>98955.0</v>
      </c>
      <c r="G19" s="17">
        <v>0.0</v>
      </c>
      <c r="H19" s="17">
        <v>0.0</v>
      </c>
      <c r="I19" s="17">
        <v>0.0</v>
      </c>
      <c r="J19" s="17">
        <f t="shared" si="1"/>
        <v>98955</v>
      </c>
      <c r="K19" s="17">
        <v>0.0</v>
      </c>
    </row>
    <row r="20">
      <c r="A20" s="14">
        <v>88.0</v>
      </c>
      <c r="B20" s="14" t="s">
        <v>198</v>
      </c>
      <c r="C20" s="14" t="s">
        <v>478</v>
      </c>
      <c r="D20" s="14" t="s">
        <v>479</v>
      </c>
      <c r="E20" s="14">
        <v>14.0</v>
      </c>
      <c r="F20" s="17">
        <v>73687.0</v>
      </c>
      <c r="G20" s="17">
        <v>14471.9</v>
      </c>
      <c r="H20" s="17">
        <v>0.0</v>
      </c>
      <c r="I20" s="17">
        <v>0.0</v>
      </c>
      <c r="J20" s="17">
        <f t="shared" si="1"/>
        <v>88158.9</v>
      </c>
      <c r="K20" s="17">
        <v>1772.7</v>
      </c>
    </row>
    <row r="21" ht="15.75" customHeight="1">
      <c r="A21" s="14">
        <v>242.0</v>
      </c>
      <c r="B21" s="14" t="s">
        <v>559</v>
      </c>
      <c r="C21" s="14" t="s">
        <v>478</v>
      </c>
      <c r="D21" s="14" t="s">
        <v>479</v>
      </c>
      <c r="E21" s="14">
        <v>37.0</v>
      </c>
      <c r="F21" s="17">
        <v>84763.0</v>
      </c>
      <c r="G21" s="17">
        <v>2452.46</v>
      </c>
      <c r="H21" s="17">
        <v>0.0</v>
      </c>
      <c r="I21" s="17">
        <v>0.0</v>
      </c>
      <c r="J21" s="17">
        <f t="shared" si="1"/>
        <v>87215.46</v>
      </c>
      <c r="K21" s="17">
        <v>0.0</v>
      </c>
    </row>
    <row r="22" ht="15.75" customHeight="1">
      <c r="A22" s="14">
        <v>9.0</v>
      </c>
      <c r="B22" s="14" t="s">
        <v>183</v>
      </c>
      <c r="C22" s="14" t="s">
        <v>478</v>
      </c>
      <c r="D22" s="14" t="s">
        <v>479</v>
      </c>
      <c r="E22" s="14">
        <v>39.0</v>
      </c>
      <c r="F22" s="17">
        <v>86062.0</v>
      </c>
      <c r="G22" s="17">
        <v>0.0</v>
      </c>
      <c r="H22" s="17">
        <v>0.0</v>
      </c>
      <c r="I22" s="17">
        <v>0.0</v>
      </c>
      <c r="J22" s="17">
        <f t="shared" si="1"/>
        <v>86062</v>
      </c>
      <c r="K22" s="17">
        <v>702.9</v>
      </c>
    </row>
    <row r="23" ht="15.75" customHeight="1">
      <c r="A23" s="14">
        <v>11.0</v>
      </c>
      <c r="B23" s="14" t="s">
        <v>570</v>
      </c>
      <c r="C23" s="14" t="s">
        <v>478</v>
      </c>
      <c r="D23" s="14" t="s">
        <v>479</v>
      </c>
      <c r="E23" s="14">
        <v>32.0</v>
      </c>
      <c r="F23" s="17">
        <v>78207.0</v>
      </c>
      <c r="G23" s="17">
        <v>1835.07</v>
      </c>
      <c r="H23" s="17">
        <v>0.0</v>
      </c>
      <c r="I23" s="17">
        <v>0.0</v>
      </c>
      <c r="J23" s="17">
        <f t="shared" si="1"/>
        <v>80042.07</v>
      </c>
      <c r="K23" s="17">
        <v>0.0</v>
      </c>
    </row>
    <row r="24" ht="15.75" customHeight="1">
      <c r="A24" s="14">
        <v>25.0</v>
      </c>
      <c r="B24" s="14" t="s">
        <v>466</v>
      </c>
      <c r="C24" s="14" t="s">
        <v>478</v>
      </c>
      <c r="D24" s="14" t="s">
        <v>479</v>
      </c>
      <c r="E24" s="14">
        <v>38.0</v>
      </c>
      <c r="F24" s="17">
        <v>79562.0</v>
      </c>
      <c r="G24" s="17">
        <v>0.0</v>
      </c>
      <c r="H24" s="17">
        <v>0.0</v>
      </c>
      <c r="I24" s="17">
        <v>0.0</v>
      </c>
      <c r="J24" s="17">
        <f t="shared" si="1"/>
        <v>79562</v>
      </c>
      <c r="K24" s="17">
        <v>0.0</v>
      </c>
    </row>
    <row r="25" ht="15.75" customHeight="1">
      <c r="A25" s="14">
        <v>984.0</v>
      </c>
      <c r="B25" s="14" t="s">
        <v>579</v>
      </c>
      <c r="C25" s="14" t="s">
        <v>478</v>
      </c>
      <c r="D25" s="14" t="s">
        <v>479</v>
      </c>
      <c r="E25" s="14">
        <v>12.0</v>
      </c>
      <c r="F25" s="17">
        <v>43089.0</v>
      </c>
      <c r="G25" s="17">
        <v>7800.46</v>
      </c>
      <c r="H25" s="17">
        <v>0.0</v>
      </c>
      <c r="I25" s="17">
        <v>28490.0</v>
      </c>
      <c r="J25" s="17">
        <f t="shared" si="1"/>
        <v>79379.46</v>
      </c>
      <c r="K25" s="17">
        <v>0.0</v>
      </c>
    </row>
    <row r="26" ht="15.75" customHeight="1">
      <c r="A26" s="14">
        <v>183.0</v>
      </c>
      <c r="B26" s="14" t="s">
        <v>96</v>
      </c>
      <c r="C26" s="14" t="s">
        <v>478</v>
      </c>
      <c r="D26" s="14" t="s">
        <v>479</v>
      </c>
      <c r="E26" s="14">
        <v>51.0</v>
      </c>
      <c r="F26" s="17">
        <v>77445.0</v>
      </c>
      <c r="G26" s="17">
        <v>400.0</v>
      </c>
      <c r="H26" s="17">
        <v>0.0</v>
      </c>
      <c r="I26" s="17">
        <v>0.0</v>
      </c>
      <c r="J26" s="17">
        <f t="shared" si="1"/>
        <v>77845</v>
      </c>
      <c r="K26" s="17">
        <v>2750.0</v>
      </c>
    </row>
    <row r="27" ht="15.75" customHeight="1">
      <c r="A27" s="14">
        <v>28.0</v>
      </c>
      <c r="B27" s="14" t="s">
        <v>500</v>
      </c>
      <c r="C27" s="14" t="s">
        <v>478</v>
      </c>
      <c r="D27" s="14" t="s">
        <v>479</v>
      </c>
      <c r="E27" s="14">
        <v>20.0</v>
      </c>
      <c r="F27" s="17">
        <v>61984.0</v>
      </c>
      <c r="G27" s="17">
        <v>11779.6</v>
      </c>
      <c r="H27" s="17">
        <v>0.0</v>
      </c>
      <c r="I27" s="17">
        <v>0.0</v>
      </c>
      <c r="J27" s="17">
        <f t="shared" si="1"/>
        <v>73763.6</v>
      </c>
      <c r="K27" s="17">
        <v>833.0</v>
      </c>
    </row>
    <row r="28" ht="15.75" customHeight="1">
      <c r="A28" s="14">
        <v>152.0</v>
      </c>
      <c r="B28" s="14" t="s">
        <v>591</v>
      </c>
      <c r="C28" s="14" t="s">
        <v>478</v>
      </c>
      <c r="D28" s="14" t="s">
        <v>479</v>
      </c>
      <c r="E28" s="14">
        <v>17.0</v>
      </c>
      <c r="F28" s="17">
        <v>62637.0</v>
      </c>
      <c r="G28" s="17">
        <v>666.67</v>
      </c>
      <c r="H28" s="17">
        <v>0.0</v>
      </c>
      <c r="I28" s="17">
        <v>0.0</v>
      </c>
      <c r="J28" s="17">
        <f t="shared" si="1"/>
        <v>63303.67</v>
      </c>
      <c r="K28" s="17">
        <v>116.67</v>
      </c>
    </row>
    <row r="29" ht="15.75" customHeight="1">
      <c r="A29" s="14">
        <v>26.0</v>
      </c>
      <c r="B29" s="14" t="s">
        <v>268</v>
      </c>
      <c r="C29" s="14" t="s">
        <v>478</v>
      </c>
      <c r="D29" s="14" t="s">
        <v>479</v>
      </c>
      <c r="E29" s="14">
        <v>36.0</v>
      </c>
      <c r="F29" s="17">
        <v>60665.0</v>
      </c>
      <c r="G29" s="17">
        <v>2601.94</v>
      </c>
      <c r="H29" s="17">
        <v>29.0</v>
      </c>
      <c r="I29" s="17">
        <v>0.0</v>
      </c>
      <c r="J29" s="17">
        <f t="shared" si="1"/>
        <v>63295.94</v>
      </c>
      <c r="K29" s="17">
        <v>906.13</v>
      </c>
    </row>
    <row r="30" ht="15.75" customHeight="1">
      <c r="A30" s="14">
        <v>56.0</v>
      </c>
      <c r="B30" s="14" t="s">
        <v>232</v>
      </c>
      <c r="C30" s="14" t="s">
        <v>478</v>
      </c>
      <c r="D30" s="14" t="s">
        <v>479</v>
      </c>
      <c r="E30" s="14">
        <v>24.0</v>
      </c>
      <c r="F30" s="17">
        <v>58683.0</v>
      </c>
      <c r="G30" s="17">
        <v>2858.9</v>
      </c>
      <c r="H30" s="17">
        <v>0.0</v>
      </c>
      <c r="I30" s="17">
        <v>1499.0</v>
      </c>
      <c r="J30" s="17">
        <f t="shared" si="1"/>
        <v>63040.9</v>
      </c>
      <c r="K30" s="17">
        <v>719.6</v>
      </c>
    </row>
    <row r="31" ht="15.75" customHeight="1">
      <c r="A31" s="14">
        <v>53.0</v>
      </c>
      <c r="B31" s="14" t="s">
        <v>601</v>
      </c>
      <c r="C31" s="14" t="s">
        <v>478</v>
      </c>
      <c r="D31" s="14" t="s">
        <v>479</v>
      </c>
      <c r="E31" s="14">
        <v>23.0</v>
      </c>
      <c r="F31" s="17">
        <v>59677.0</v>
      </c>
      <c r="G31" s="17">
        <v>2499.0</v>
      </c>
      <c r="H31" s="17">
        <v>0.0</v>
      </c>
      <c r="I31" s="17">
        <v>0.0</v>
      </c>
      <c r="J31" s="17">
        <f t="shared" si="1"/>
        <v>62176</v>
      </c>
      <c r="K31" s="17">
        <v>0.0</v>
      </c>
    </row>
    <row r="32" ht="15.75" customHeight="1">
      <c r="A32" s="14">
        <v>143.0</v>
      </c>
      <c r="B32" s="14" t="s">
        <v>374</v>
      </c>
      <c r="C32" s="14" t="s">
        <v>478</v>
      </c>
      <c r="D32" s="14" t="s">
        <v>479</v>
      </c>
      <c r="E32" s="14">
        <v>29.0</v>
      </c>
      <c r="F32" s="17">
        <v>49139.0</v>
      </c>
      <c r="G32" s="17">
        <v>6498.14</v>
      </c>
      <c r="H32" s="17">
        <v>0.0</v>
      </c>
      <c r="I32" s="17">
        <v>2599.0</v>
      </c>
      <c r="J32" s="17">
        <f t="shared" si="1"/>
        <v>58236.14</v>
      </c>
      <c r="K32" s="17">
        <v>700.0</v>
      </c>
    </row>
    <row r="33" ht="15.75" customHeight="1">
      <c r="A33" s="14">
        <v>156.0</v>
      </c>
      <c r="B33" s="14" t="s">
        <v>605</v>
      </c>
      <c r="C33" s="14" t="s">
        <v>478</v>
      </c>
      <c r="D33" s="14" t="s">
        <v>479</v>
      </c>
      <c r="E33" s="14">
        <v>27.0</v>
      </c>
      <c r="F33" s="17">
        <v>58183.0</v>
      </c>
      <c r="G33" s="17">
        <v>0.0</v>
      </c>
      <c r="H33" s="17">
        <v>0.0</v>
      </c>
      <c r="I33" s="17">
        <v>0.0</v>
      </c>
      <c r="J33" s="17">
        <f t="shared" si="1"/>
        <v>58183</v>
      </c>
      <c r="K33" s="17">
        <v>0.0</v>
      </c>
    </row>
    <row r="34" ht="15.75" customHeight="1">
      <c r="A34" s="14">
        <v>105.0</v>
      </c>
      <c r="B34" s="14" t="s">
        <v>566</v>
      </c>
      <c r="C34" s="14" t="s">
        <v>478</v>
      </c>
      <c r="D34" s="14" t="s">
        <v>479</v>
      </c>
      <c r="E34" s="14">
        <v>29.0</v>
      </c>
      <c r="F34" s="17">
        <v>57471.0</v>
      </c>
      <c r="G34" s="17">
        <v>0.0</v>
      </c>
      <c r="H34" s="17">
        <v>0.0</v>
      </c>
      <c r="I34" s="17">
        <v>0.0</v>
      </c>
      <c r="J34" s="17">
        <f t="shared" si="1"/>
        <v>57471</v>
      </c>
      <c r="K34" s="17">
        <v>899.5</v>
      </c>
    </row>
    <row r="35" ht="15.75" customHeight="1">
      <c r="A35" s="14">
        <v>65.0</v>
      </c>
      <c r="B35" s="14" t="s">
        <v>607</v>
      </c>
      <c r="C35" s="14" t="s">
        <v>478</v>
      </c>
      <c r="D35" s="14" t="s">
        <v>479</v>
      </c>
      <c r="E35" s="14">
        <v>13.0</v>
      </c>
      <c r="F35" s="17">
        <v>53992.0</v>
      </c>
      <c r="G35" s="17">
        <v>0.0</v>
      </c>
      <c r="H35" s="17">
        <v>0.0</v>
      </c>
      <c r="I35" s="17">
        <v>0.0</v>
      </c>
      <c r="J35" s="17">
        <f t="shared" si="1"/>
        <v>53992</v>
      </c>
      <c r="K35" s="17">
        <v>0.0</v>
      </c>
    </row>
    <row r="36" ht="15.75" customHeight="1">
      <c r="A36" s="14">
        <v>127.0</v>
      </c>
      <c r="B36" s="14" t="s">
        <v>572</v>
      </c>
      <c r="C36" s="14" t="s">
        <v>478</v>
      </c>
      <c r="D36" s="14" t="s">
        <v>479</v>
      </c>
      <c r="E36" s="14">
        <v>27.0</v>
      </c>
      <c r="F36" s="17">
        <v>51977.0</v>
      </c>
      <c r="G36" s="17">
        <v>1800.0</v>
      </c>
      <c r="H36" s="17">
        <v>0.0</v>
      </c>
      <c r="I36" s="17">
        <v>0.0</v>
      </c>
      <c r="J36" s="17">
        <f t="shared" si="1"/>
        <v>53777</v>
      </c>
      <c r="K36" s="17">
        <v>699.54</v>
      </c>
    </row>
    <row r="37" ht="15.75" customHeight="1">
      <c r="A37" s="14">
        <v>966.0</v>
      </c>
      <c r="B37" s="14" t="s">
        <v>386</v>
      </c>
      <c r="C37" s="14" t="s">
        <v>478</v>
      </c>
      <c r="D37" s="14" t="s">
        <v>479</v>
      </c>
      <c r="E37" s="14">
        <v>14.0</v>
      </c>
      <c r="F37" s="17">
        <v>26740.0</v>
      </c>
      <c r="G37" s="17">
        <v>26740.0</v>
      </c>
      <c r="H37" s="17">
        <v>0.0</v>
      </c>
      <c r="I37" s="17">
        <v>0.0</v>
      </c>
      <c r="J37" s="17">
        <f t="shared" si="1"/>
        <v>53480</v>
      </c>
      <c r="K37" s="17">
        <v>0.0</v>
      </c>
    </row>
    <row r="38" ht="15.75" customHeight="1">
      <c r="A38" s="14">
        <v>168.0</v>
      </c>
      <c r="B38" s="14" t="s">
        <v>616</v>
      </c>
      <c r="C38" s="14" t="s">
        <v>478</v>
      </c>
      <c r="D38" s="14" t="s">
        <v>479</v>
      </c>
      <c r="E38" s="14">
        <v>24.0</v>
      </c>
      <c r="F38" s="17">
        <v>52376.0</v>
      </c>
      <c r="G38" s="17">
        <v>0.0</v>
      </c>
      <c r="H38" s="17">
        <v>0.0</v>
      </c>
      <c r="I38" s="17">
        <v>0.0</v>
      </c>
      <c r="J38" s="17">
        <f t="shared" si="1"/>
        <v>52376</v>
      </c>
      <c r="K38" s="17">
        <v>0.0</v>
      </c>
    </row>
    <row r="39" ht="15.75" customHeight="1">
      <c r="A39" s="14">
        <v>64.0</v>
      </c>
      <c r="B39" s="14" t="s">
        <v>621</v>
      </c>
      <c r="C39" s="14" t="s">
        <v>478</v>
      </c>
      <c r="D39" s="14" t="s">
        <v>479</v>
      </c>
      <c r="E39" s="14">
        <v>13.0</v>
      </c>
      <c r="F39" s="17">
        <v>49091.0</v>
      </c>
      <c r="G39" s="17">
        <v>0.0</v>
      </c>
      <c r="H39" s="17">
        <v>0.0</v>
      </c>
      <c r="I39" s="17">
        <v>0.0</v>
      </c>
      <c r="J39" s="17">
        <f t="shared" si="1"/>
        <v>49091</v>
      </c>
      <c r="K39" s="17">
        <v>0.0</v>
      </c>
    </row>
    <row r="40" ht="15.75" customHeight="1">
      <c r="A40" s="14">
        <v>203.0</v>
      </c>
      <c r="B40" s="14" t="s">
        <v>626</v>
      </c>
      <c r="C40" s="14" t="s">
        <v>478</v>
      </c>
      <c r="D40" s="14" t="s">
        <v>479</v>
      </c>
      <c r="E40" s="14">
        <v>23.0</v>
      </c>
      <c r="F40" s="17">
        <v>48277.0</v>
      </c>
      <c r="G40" s="17">
        <v>0.0</v>
      </c>
      <c r="H40" s="17">
        <v>0.0</v>
      </c>
      <c r="I40" s="17">
        <v>0.0</v>
      </c>
      <c r="J40" s="17">
        <f t="shared" si="1"/>
        <v>48277</v>
      </c>
      <c r="K40" s="17">
        <v>0.0</v>
      </c>
    </row>
    <row r="41" ht="15.75" customHeight="1">
      <c r="A41" s="14">
        <v>107.0</v>
      </c>
      <c r="B41" s="14" t="s">
        <v>531</v>
      </c>
      <c r="C41" s="14" t="s">
        <v>478</v>
      </c>
      <c r="D41" s="14" t="s">
        <v>479</v>
      </c>
      <c r="E41" s="14">
        <v>14.0</v>
      </c>
      <c r="F41" s="17">
        <v>47760.0</v>
      </c>
      <c r="G41" s="17">
        <v>0.0</v>
      </c>
      <c r="H41" s="17">
        <v>0.0</v>
      </c>
      <c r="I41" s="17">
        <v>0.0</v>
      </c>
      <c r="J41" s="17">
        <f t="shared" si="1"/>
        <v>47760</v>
      </c>
      <c r="K41" s="17">
        <v>5277.91</v>
      </c>
    </row>
    <row r="42" ht="15.75" customHeight="1">
      <c r="A42" s="14">
        <v>5.0</v>
      </c>
      <c r="B42" s="14" t="s">
        <v>627</v>
      </c>
      <c r="C42" s="14" t="s">
        <v>478</v>
      </c>
      <c r="D42" s="14" t="s">
        <v>479</v>
      </c>
      <c r="E42" s="14">
        <v>11.0</v>
      </c>
      <c r="F42" s="17">
        <v>23799.0</v>
      </c>
      <c r="G42" s="17">
        <v>23799.0</v>
      </c>
      <c r="H42" s="17">
        <v>0.0</v>
      </c>
      <c r="I42" s="17">
        <v>0.0</v>
      </c>
      <c r="J42" s="17">
        <f t="shared" si="1"/>
        <v>47598</v>
      </c>
      <c r="K42" s="17">
        <v>0.0</v>
      </c>
    </row>
    <row r="43" ht="15.75" customHeight="1">
      <c r="A43" s="14">
        <v>92.0</v>
      </c>
      <c r="B43" s="14" t="s">
        <v>628</v>
      </c>
      <c r="C43" s="14" t="s">
        <v>478</v>
      </c>
      <c r="D43" s="14" t="s">
        <v>479</v>
      </c>
      <c r="E43" s="14">
        <v>45.0</v>
      </c>
      <c r="F43" s="17">
        <v>45555.0</v>
      </c>
      <c r="G43" s="17">
        <v>999.0</v>
      </c>
      <c r="H43" s="17">
        <v>0.0</v>
      </c>
      <c r="I43" s="17">
        <v>0.0</v>
      </c>
      <c r="J43" s="17">
        <f t="shared" si="1"/>
        <v>46554</v>
      </c>
      <c r="K43" s="17">
        <v>0.0</v>
      </c>
    </row>
    <row r="44" ht="15.75" customHeight="1">
      <c r="A44" s="14">
        <v>206.0</v>
      </c>
      <c r="B44" s="14" t="s">
        <v>441</v>
      </c>
      <c r="C44" s="14" t="s">
        <v>478</v>
      </c>
      <c r="D44" s="14" t="s">
        <v>479</v>
      </c>
      <c r="E44" s="14">
        <v>22.0</v>
      </c>
      <c r="F44" s="17">
        <v>46159.0</v>
      </c>
      <c r="G44" s="17">
        <v>0.0</v>
      </c>
      <c r="H44" s="17">
        <v>0.0</v>
      </c>
      <c r="I44" s="17">
        <v>0.0</v>
      </c>
      <c r="J44" s="17">
        <f t="shared" si="1"/>
        <v>46159</v>
      </c>
      <c r="K44" s="17">
        <v>659.4</v>
      </c>
    </row>
    <row r="45" ht="15.75" customHeight="1">
      <c r="A45" s="14">
        <v>90.0</v>
      </c>
      <c r="B45" s="14" t="s">
        <v>629</v>
      </c>
      <c r="C45" s="14" t="s">
        <v>478</v>
      </c>
      <c r="D45" s="14" t="s">
        <v>479</v>
      </c>
      <c r="E45" s="14">
        <v>14.0</v>
      </c>
      <c r="F45" s="17">
        <v>45494.0</v>
      </c>
      <c r="G45" s="17">
        <v>133.27</v>
      </c>
      <c r="H45" s="17">
        <v>0.0</v>
      </c>
      <c r="I45" s="17">
        <v>0.0</v>
      </c>
      <c r="J45" s="17">
        <f t="shared" si="1"/>
        <v>45627.27</v>
      </c>
      <c r="K45" s="17">
        <v>0.0</v>
      </c>
    </row>
    <row r="46" ht="15.75" customHeight="1">
      <c r="A46" s="14">
        <v>20.0</v>
      </c>
      <c r="B46" s="14" t="s">
        <v>363</v>
      </c>
      <c r="C46" s="14" t="s">
        <v>478</v>
      </c>
      <c r="D46" s="14" t="s">
        <v>479</v>
      </c>
      <c r="E46" s="14">
        <v>40.0</v>
      </c>
      <c r="F46" s="17">
        <v>40653.23</v>
      </c>
      <c r="G46" s="17">
        <v>689.23</v>
      </c>
      <c r="H46" s="17">
        <v>1000.5</v>
      </c>
      <c r="I46" s="17">
        <v>0.0</v>
      </c>
      <c r="J46" s="17">
        <f t="shared" si="1"/>
        <v>42342.96</v>
      </c>
      <c r="K46" s="17">
        <v>353.0</v>
      </c>
    </row>
    <row r="47" ht="15.75" customHeight="1">
      <c r="A47" s="14">
        <v>180.0</v>
      </c>
      <c r="B47" s="14" t="s">
        <v>529</v>
      </c>
      <c r="C47" s="14" t="s">
        <v>478</v>
      </c>
      <c r="D47" s="14" t="s">
        <v>479</v>
      </c>
      <c r="E47" s="14">
        <v>22.0</v>
      </c>
      <c r="F47" s="17">
        <v>40579.0</v>
      </c>
      <c r="G47" s="17">
        <v>123.3</v>
      </c>
      <c r="H47" s="17">
        <v>0.0</v>
      </c>
      <c r="I47" s="17">
        <v>0.0</v>
      </c>
      <c r="J47" s="17">
        <f t="shared" si="1"/>
        <v>40702.3</v>
      </c>
      <c r="K47" s="17">
        <v>6251.93</v>
      </c>
    </row>
    <row r="48" ht="15.75" customHeight="1">
      <c r="A48" s="14">
        <v>185.0</v>
      </c>
      <c r="B48" s="14" t="s">
        <v>121</v>
      </c>
      <c r="C48" s="14" t="s">
        <v>478</v>
      </c>
      <c r="D48" s="14" t="s">
        <v>479</v>
      </c>
      <c r="E48" s="14">
        <v>22.0</v>
      </c>
      <c r="F48" s="17">
        <v>39678.0</v>
      </c>
      <c r="G48" s="17">
        <v>792.87</v>
      </c>
      <c r="H48" s="17">
        <v>0.0</v>
      </c>
      <c r="I48" s="17">
        <v>0.0</v>
      </c>
      <c r="J48" s="17">
        <f t="shared" si="1"/>
        <v>40470.87</v>
      </c>
      <c r="K48" s="17">
        <v>1012.7</v>
      </c>
    </row>
    <row r="49" ht="15.75" customHeight="1">
      <c r="A49" s="14">
        <v>95.0</v>
      </c>
      <c r="B49" s="14" t="s">
        <v>44</v>
      </c>
      <c r="C49" s="14" t="s">
        <v>478</v>
      </c>
      <c r="D49" s="14" t="s">
        <v>479</v>
      </c>
      <c r="E49" s="14">
        <v>1.0</v>
      </c>
      <c r="F49" s="17">
        <v>20000.0</v>
      </c>
      <c r="G49" s="17">
        <v>18000.0</v>
      </c>
      <c r="H49" s="17">
        <v>0.0</v>
      </c>
      <c r="I49" s="17">
        <v>0.0</v>
      </c>
      <c r="J49" s="17">
        <f t="shared" si="1"/>
        <v>38000</v>
      </c>
      <c r="K49" s="17">
        <v>0.0</v>
      </c>
    </row>
    <row r="50" ht="15.75" customHeight="1">
      <c r="A50" s="14">
        <v>192.0</v>
      </c>
      <c r="B50" s="14" t="s">
        <v>630</v>
      </c>
      <c r="C50" s="14" t="s">
        <v>478</v>
      </c>
      <c r="D50" s="14" t="s">
        <v>479</v>
      </c>
      <c r="E50" s="14">
        <v>9.0</v>
      </c>
      <c r="F50" s="17">
        <v>37991.0</v>
      </c>
      <c r="G50" s="17">
        <v>0.0</v>
      </c>
      <c r="H50" s="17">
        <v>0.0</v>
      </c>
      <c r="I50" s="17">
        <v>0.0</v>
      </c>
      <c r="J50" s="17">
        <f t="shared" si="1"/>
        <v>37991</v>
      </c>
      <c r="K50" s="17">
        <v>0.0</v>
      </c>
    </row>
    <row r="51" ht="15.75" customHeight="1">
      <c r="A51" s="14">
        <v>8.0</v>
      </c>
      <c r="B51" s="14" t="s">
        <v>159</v>
      </c>
      <c r="C51" s="14" t="s">
        <v>478</v>
      </c>
      <c r="D51" s="14" t="s">
        <v>479</v>
      </c>
      <c r="E51" s="14">
        <v>19.0</v>
      </c>
      <c r="F51" s="17">
        <v>32789.0</v>
      </c>
      <c r="G51" s="17">
        <v>4997.5</v>
      </c>
      <c r="H51" s="17">
        <v>0.0</v>
      </c>
      <c r="I51" s="17">
        <v>0.0</v>
      </c>
      <c r="J51" s="17">
        <f t="shared" si="1"/>
        <v>37786.5</v>
      </c>
      <c r="K51" s="17">
        <v>1306.67</v>
      </c>
    </row>
    <row r="52" ht="15.75" customHeight="1">
      <c r="A52" s="14">
        <v>115.0</v>
      </c>
      <c r="B52" s="14" t="s">
        <v>631</v>
      </c>
      <c r="C52" s="14" t="s">
        <v>478</v>
      </c>
      <c r="D52" s="14" t="s">
        <v>479</v>
      </c>
      <c r="E52" s="14">
        <v>21.0</v>
      </c>
      <c r="F52" s="17">
        <v>37510.0</v>
      </c>
      <c r="G52" s="17">
        <v>0.0</v>
      </c>
      <c r="H52" s="17">
        <v>0.0</v>
      </c>
      <c r="I52" s="17">
        <v>0.0</v>
      </c>
      <c r="J52" s="17">
        <f t="shared" si="1"/>
        <v>37510</v>
      </c>
      <c r="K52" s="17">
        <v>0.0</v>
      </c>
    </row>
    <row r="53" ht="15.75" customHeight="1">
      <c r="A53" s="14">
        <v>61.0</v>
      </c>
      <c r="B53" s="14" t="s">
        <v>511</v>
      </c>
      <c r="C53" s="14" t="s">
        <v>478</v>
      </c>
      <c r="D53" s="14" t="s">
        <v>479</v>
      </c>
      <c r="E53" s="14">
        <v>22.0</v>
      </c>
      <c r="F53" s="17">
        <v>33881.0</v>
      </c>
      <c r="G53" s="17">
        <v>1509.7</v>
      </c>
      <c r="H53" s="17">
        <v>0.0</v>
      </c>
      <c r="I53" s="17">
        <v>0.0</v>
      </c>
      <c r="J53" s="17">
        <f t="shared" si="1"/>
        <v>35390.7</v>
      </c>
      <c r="K53" s="17">
        <v>0.0</v>
      </c>
    </row>
    <row r="54" ht="15.75" customHeight="1">
      <c r="A54" s="14">
        <v>977.0</v>
      </c>
      <c r="B54" s="14" t="s">
        <v>632</v>
      </c>
      <c r="C54" s="14" t="s">
        <v>478</v>
      </c>
      <c r="D54" s="14" t="s">
        <v>479</v>
      </c>
      <c r="E54" s="14">
        <v>10.0</v>
      </c>
      <c r="F54" s="17">
        <v>16600.0</v>
      </c>
      <c r="G54" s="17">
        <v>3233.32</v>
      </c>
      <c r="H54" s="17">
        <v>0.0</v>
      </c>
      <c r="I54" s="17">
        <v>15000.0</v>
      </c>
      <c r="J54" s="17">
        <f t="shared" si="1"/>
        <v>34833.32</v>
      </c>
      <c r="K54" s="17">
        <v>0.0</v>
      </c>
    </row>
    <row r="55" ht="15.75" customHeight="1">
      <c r="A55" s="14">
        <v>117.0</v>
      </c>
      <c r="B55" s="14" t="s">
        <v>259</v>
      </c>
      <c r="C55" s="14" t="s">
        <v>478</v>
      </c>
      <c r="D55" s="14" t="s">
        <v>479</v>
      </c>
      <c r="E55" s="14">
        <v>23.0</v>
      </c>
      <c r="F55" s="17">
        <v>34779.0</v>
      </c>
      <c r="G55" s="17">
        <v>0.0</v>
      </c>
      <c r="H55" s="17">
        <v>0.0</v>
      </c>
      <c r="I55" s="17">
        <v>0.0</v>
      </c>
      <c r="J55" s="17">
        <f t="shared" si="1"/>
        <v>34779</v>
      </c>
      <c r="K55" s="17">
        <v>33.2</v>
      </c>
    </row>
    <row r="56" ht="15.75" customHeight="1">
      <c r="A56" s="14">
        <v>141.0</v>
      </c>
      <c r="B56" s="14" t="s">
        <v>576</v>
      </c>
      <c r="C56" s="14" t="s">
        <v>478</v>
      </c>
      <c r="D56" s="14" t="s">
        <v>479</v>
      </c>
      <c r="E56" s="14">
        <v>24.0</v>
      </c>
      <c r="F56" s="17">
        <v>34399.0</v>
      </c>
      <c r="G56" s="17">
        <v>46.67</v>
      </c>
      <c r="H56" s="17">
        <v>0.0</v>
      </c>
      <c r="I56" s="17">
        <v>0.0</v>
      </c>
      <c r="J56" s="17">
        <f t="shared" si="1"/>
        <v>34445.67</v>
      </c>
      <c r="K56" s="17">
        <v>560.0</v>
      </c>
    </row>
    <row r="57" ht="15.75" customHeight="1">
      <c r="A57" s="14">
        <v>178.0</v>
      </c>
      <c r="B57" s="14" t="s">
        <v>633</v>
      </c>
      <c r="C57" s="14" t="s">
        <v>478</v>
      </c>
      <c r="D57" s="14" t="s">
        <v>479</v>
      </c>
      <c r="E57" s="14">
        <v>30.0</v>
      </c>
      <c r="F57" s="17">
        <v>33430.0</v>
      </c>
      <c r="G57" s="17">
        <v>999.0</v>
      </c>
      <c r="H57" s="17">
        <v>0.0</v>
      </c>
      <c r="I57" s="17">
        <v>0.0</v>
      </c>
      <c r="J57" s="17">
        <f t="shared" si="1"/>
        <v>34429</v>
      </c>
      <c r="K57" s="17">
        <v>0.0</v>
      </c>
    </row>
    <row r="58" ht="15.75" customHeight="1">
      <c r="A58" s="14">
        <v>976.0</v>
      </c>
      <c r="B58" s="14" t="s">
        <v>634</v>
      </c>
      <c r="C58" s="14" t="s">
        <v>478</v>
      </c>
      <c r="D58" s="14" t="s">
        <v>479</v>
      </c>
      <c r="E58" s="14">
        <v>11.0</v>
      </c>
      <c r="F58" s="17">
        <v>17600.0</v>
      </c>
      <c r="G58" s="17">
        <v>6720.0</v>
      </c>
      <c r="H58" s="17">
        <v>0.0</v>
      </c>
      <c r="I58" s="17">
        <v>9600.0</v>
      </c>
      <c r="J58" s="17">
        <f t="shared" si="1"/>
        <v>33920</v>
      </c>
      <c r="K58" s="17">
        <v>0.0</v>
      </c>
    </row>
    <row r="59" ht="15.75" customHeight="1">
      <c r="A59" s="14">
        <v>158.0</v>
      </c>
      <c r="B59" s="14" t="s">
        <v>583</v>
      </c>
      <c r="C59" s="14" t="s">
        <v>478</v>
      </c>
      <c r="D59" s="14" t="s">
        <v>479</v>
      </c>
      <c r="E59" s="14">
        <v>22.0</v>
      </c>
      <c r="F59" s="17">
        <v>33649.0</v>
      </c>
      <c r="G59" s="17">
        <v>0.0</v>
      </c>
      <c r="H59" s="17">
        <v>0.0</v>
      </c>
      <c r="I59" s="17">
        <v>0.0</v>
      </c>
      <c r="J59" s="17">
        <f t="shared" si="1"/>
        <v>33649</v>
      </c>
      <c r="K59" s="17">
        <v>400.0</v>
      </c>
    </row>
    <row r="60" ht="15.75" customHeight="1">
      <c r="A60" s="14">
        <v>7.0</v>
      </c>
      <c r="B60" s="14" t="s">
        <v>635</v>
      </c>
      <c r="C60" s="14" t="s">
        <v>478</v>
      </c>
      <c r="D60" s="14" t="s">
        <v>479</v>
      </c>
      <c r="E60" s="14">
        <v>34.0</v>
      </c>
      <c r="F60" s="17">
        <v>33427.0</v>
      </c>
      <c r="G60" s="17">
        <v>66.6</v>
      </c>
      <c r="H60" s="17">
        <v>0.0</v>
      </c>
      <c r="I60" s="17">
        <v>0.0</v>
      </c>
      <c r="J60" s="17">
        <f t="shared" si="1"/>
        <v>33493.6</v>
      </c>
      <c r="K60" s="17">
        <v>0.0</v>
      </c>
    </row>
    <row r="61" ht="15.75" customHeight="1">
      <c r="A61" s="14">
        <v>47.0</v>
      </c>
      <c r="B61" s="14" t="s">
        <v>636</v>
      </c>
      <c r="C61" s="14" t="s">
        <v>478</v>
      </c>
      <c r="D61" s="14" t="s">
        <v>479</v>
      </c>
      <c r="E61" s="14">
        <v>20.0</v>
      </c>
      <c r="F61" s="17">
        <v>32980.0</v>
      </c>
      <c r="G61" s="17">
        <v>0.0</v>
      </c>
      <c r="H61" s="17">
        <v>0.0</v>
      </c>
      <c r="I61" s="17">
        <v>0.0</v>
      </c>
      <c r="J61" s="17">
        <f t="shared" si="1"/>
        <v>32980</v>
      </c>
      <c r="K61" s="17">
        <v>0.0</v>
      </c>
    </row>
    <row r="62" ht="15.75" customHeight="1">
      <c r="A62" s="14">
        <v>23.0</v>
      </c>
      <c r="B62" s="14" t="s">
        <v>553</v>
      </c>
      <c r="C62" s="14" t="s">
        <v>478</v>
      </c>
      <c r="D62" s="14" t="s">
        <v>479</v>
      </c>
      <c r="E62" s="14">
        <v>12.0</v>
      </c>
      <c r="F62" s="17">
        <v>32388.0</v>
      </c>
      <c r="G62" s="17">
        <v>0.0</v>
      </c>
      <c r="H62" s="17">
        <v>0.0</v>
      </c>
      <c r="I62" s="17">
        <v>0.0</v>
      </c>
      <c r="J62" s="17">
        <f t="shared" si="1"/>
        <v>32388</v>
      </c>
      <c r="K62" s="17">
        <v>1439.47</v>
      </c>
    </row>
    <row r="63" ht="15.75" customHeight="1">
      <c r="A63" s="14">
        <v>959.0</v>
      </c>
      <c r="B63" s="14" t="s">
        <v>637</v>
      </c>
      <c r="C63" s="14" t="s">
        <v>478</v>
      </c>
      <c r="D63" s="14" t="s">
        <v>479</v>
      </c>
      <c r="E63" s="14">
        <v>11.0</v>
      </c>
      <c r="F63" s="17">
        <v>19689.0</v>
      </c>
      <c r="G63" s="17">
        <v>4724.23</v>
      </c>
      <c r="H63" s="17">
        <v>0.0</v>
      </c>
      <c r="I63" s="17">
        <v>7796.0</v>
      </c>
      <c r="J63" s="17">
        <f t="shared" si="1"/>
        <v>32209.23</v>
      </c>
      <c r="K63" s="17">
        <v>0.0</v>
      </c>
    </row>
    <row r="64" ht="15.75" customHeight="1">
      <c r="A64" s="14">
        <v>270.0</v>
      </c>
      <c r="B64" s="14" t="s">
        <v>638</v>
      </c>
      <c r="C64" s="14" t="s">
        <v>478</v>
      </c>
      <c r="D64" s="14" t="s">
        <v>479</v>
      </c>
      <c r="E64" s="14">
        <v>13.0</v>
      </c>
      <c r="F64" s="17">
        <v>31587.0</v>
      </c>
      <c r="G64" s="17">
        <v>0.0</v>
      </c>
      <c r="H64" s="17">
        <v>0.0</v>
      </c>
      <c r="I64" s="17">
        <v>0.0</v>
      </c>
      <c r="J64" s="17">
        <f t="shared" si="1"/>
        <v>31587</v>
      </c>
      <c r="K64" s="17">
        <v>0.0</v>
      </c>
    </row>
    <row r="65" ht="15.75" customHeight="1">
      <c r="A65" s="14">
        <v>62.0</v>
      </c>
      <c r="B65" s="14" t="s">
        <v>639</v>
      </c>
      <c r="C65" s="14" t="s">
        <v>478</v>
      </c>
      <c r="D65" s="14" t="s">
        <v>479</v>
      </c>
      <c r="E65" s="14">
        <v>15.0</v>
      </c>
      <c r="F65" s="17">
        <v>30808.0</v>
      </c>
      <c r="G65" s="17">
        <v>0.0</v>
      </c>
      <c r="H65" s="17">
        <v>0.0</v>
      </c>
      <c r="I65" s="17">
        <v>0.0</v>
      </c>
      <c r="J65" s="17">
        <f t="shared" si="1"/>
        <v>30808</v>
      </c>
      <c r="K65" s="17">
        <v>0.0</v>
      </c>
    </row>
    <row r="66" ht="15.75" customHeight="1">
      <c r="A66" s="14">
        <v>36.0</v>
      </c>
      <c r="B66" s="14" t="s">
        <v>640</v>
      </c>
      <c r="C66" s="14" t="s">
        <v>478</v>
      </c>
      <c r="D66" s="14" t="s">
        <v>479</v>
      </c>
      <c r="E66" s="14">
        <v>9.0</v>
      </c>
      <c r="F66" s="17">
        <v>30796.0</v>
      </c>
      <c r="G66" s="17">
        <v>0.0</v>
      </c>
      <c r="H66" s="17">
        <v>0.0</v>
      </c>
      <c r="I66" s="17">
        <v>0.0</v>
      </c>
      <c r="J66" s="17">
        <f t="shared" si="1"/>
        <v>30796</v>
      </c>
      <c r="K66" s="17">
        <v>0.0</v>
      </c>
    </row>
    <row r="67" ht="15.75" customHeight="1">
      <c r="A67" s="14">
        <v>119.0</v>
      </c>
      <c r="B67" s="14" t="s">
        <v>641</v>
      </c>
      <c r="C67" s="14" t="s">
        <v>478</v>
      </c>
      <c r="D67" s="14" t="s">
        <v>479</v>
      </c>
      <c r="E67" s="14">
        <v>11.0</v>
      </c>
      <c r="F67" s="17">
        <v>30397.0</v>
      </c>
      <c r="G67" s="17">
        <v>383.2</v>
      </c>
      <c r="H67" s="17">
        <v>0.0</v>
      </c>
      <c r="I67" s="17">
        <v>0.0</v>
      </c>
      <c r="J67" s="17">
        <f t="shared" si="1"/>
        <v>30780.2</v>
      </c>
      <c r="K67" s="17">
        <v>0.0</v>
      </c>
    </row>
    <row r="68" ht="15.75" customHeight="1">
      <c r="A68" s="14">
        <v>16.0</v>
      </c>
      <c r="B68" s="14" t="s">
        <v>535</v>
      </c>
      <c r="C68" s="14" t="s">
        <v>478</v>
      </c>
      <c r="D68" s="14" t="s">
        <v>479</v>
      </c>
      <c r="E68" s="14">
        <v>11.0</v>
      </c>
      <c r="F68" s="17">
        <v>22989.0</v>
      </c>
      <c r="G68" s="17">
        <v>7529.56</v>
      </c>
      <c r="H68" s="17">
        <v>0.0</v>
      </c>
      <c r="I68" s="17">
        <v>0.0</v>
      </c>
      <c r="J68" s="17">
        <f t="shared" si="1"/>
        <v>30518.56</v>
      </c>
      <c r="K68" s="17">
        <v>3904.93</v>
      </c>
    </row>
    <row r="69" ht="15.75" customHeight="1">
      <c r="A69" s="14">
        <v>280.0</v>
      </c>
      <c r="B69" s="14" t="s">
        <v>642</v>
      </c>
      <c r="C69" s="14" t="s">
        <v>478</v>
      </c>
      <c r="D69" s="14" t="s">
        <v>479</v>
      </c>
      <c r="E69" s="14">
        <v>8.0</v>
      </c>
      <c r="F69" s="17">
        <v>17597.0</v>
      </c>
      <c r="G69" s="17">
        <v>5424.2</v>
      </c>
      <c r="H69" s="17">
        <v>0.0</v>
      </c>
      <c r="I69" s="17">
        <v>6597.0</v>
      </c>
      <c r="J69" s="17">
        <f t="shared" si="1"/>
        <v>29618.2</v>
      </c>
      <c r="K69" s="17">
        <v>0.0</v>
      </c>
    </row>
    <row r="70" ht="15.75" customHeight="1">
      <c r="A70" s="14">
        <v>265.0</v>
      </c>
      <c r="B70" s="14" t="s">
        <v>419</v>
      </c>
      <c r="C70" s="14" t="s">
        <v>478</v>
      </c>
      <c r="D70" s="14" t="s">
        <v>479</v>
      </c>
      <c r="E70" s="14">
        <v>20.0</v>
      </c>
      <c r="F70" s="17">
        <v>29197.0</v>
      </c>
      <c r="G70" s="17">
        <v>0.0</v>
      </c>
      <c r="H70" s="17">
        <v>0.0</v>
      </c>
      <c r="I70" s="17">
        <v>0.0</v>
      </c>
      <c r="J70" s="17">
        <f t="shared" si="1"/>
        <v>29197</v>
      </c>
      <c r="K70" s="17">
        <v>1820.01</v>
      </c>
    </row>
    <row r="71" ht="15.75" customHeight="1">
      <c r="A71" s="14">
        <v>39.0</v>
      </c>
      <c r="B71" s="14" t="s">
        <v>643</v>
      </c>
      <c r="C71" s="14" t="s">
        <v>478</v>
      </c>
      <c r="D71" s="14" t="s">
        <v>479</v>
      </c>
      <c r="E71" s="14">
        <v>5.0</v>
      </c>
      <c r="F71" s="17">
        <v>28986.0</v>
      </c>
      <c r="G71" s="17">
        <v>0.0</v>
      </c>
      <c r="H71" s="17">
        <v>0.0</v>
      </c>
      <c r="I71" s="17">
        <v>0.0</v>
      </c>
      <c r="J71" s="17">
        <f t="shared" si="1"/>
        <v>28986</v>
      </c>
      <c r="K71" s="17">
        <v>0.0</v>
      </c>
    </row>
    <row r="72" ht="15.75" customHeight="1">
      <c r="A72" s="14">
        <v>113.0</v>
      </c>
      <c r="B72" s="14" t="s">
        <v>644</v>
      </c>
      <c r="C72" s="14" t="s">
        <v>478</v>
      </c>
      <c r="D72" s="14" t="s">
        <v>479</v>
      </c>
      <c r="E72" s="14">
        <v>15.0</v>
      </c>
      <c r="F72" s="17">
        <v>28785.0</v>
      </c>
      <c r="G72" s="17">
        <v>0.0</v>
      </c>
      <c r="H72" s="17">
        <v>0.0</v>
      </c>
      <c r="I72" s="17">
        <v>0.0</v>
      </c>
      <c r="J72" s="17">
        <f t="shared" si="1"/>
        <v>28785</v>
      </c>
      <c r="K72" s="17">
        <v>0.0</v>
      </c>
    </row>
    <row r="73" ht="15.75" customHeight="1">
      <c r="A73" s="14">
        <v>50.0</v>
      </c>
      <c r="B73" s="14" t="s">
        <v>645</v>
      </c>
      <c r="C73" s="14" t="s">
        <v>478</v>
      </c>
      <c r="D73" s="14" t="s">
        <v>479</v>
      </c>
      <c r="E73" s="14">
        <v>5.0</v>
      </c>
      <c r="F73" s="17">
        <v>27949.0</v>
      </c>
      <c r="G73" s="17">
        <v>0.0</v>
      </c>
      <c r="H73" s="17">
        <v>0.0</v>
      </c>
      <c r="I73" s="17">
        <v>0.0</v>
      </c>
      <c r="J73" s="17">
        <f t="shared" si="1"/>
        <v>27949</v>
      </c>
      <c r="K73" s="17">
        <v>0.0</v>
      </c>
    </row>
    <row r="74" ht="15.75" customHeight="1">
      <c r="A74" s="14">
        <v>66.0</v>
      </c>
      <c r="B74" s="14" t="s">
        <v>646</v>
      </c>
      <c r="C74" s="14" t="s">
        <v>478</v>
      </c>
      <c r="D74" s="14" t="s">
        <v>479</v>
      </c>
      <c r="E74" s="14">
        <v>21.0</v>
      </c>
      <c r="F74" s="17">
        <v>24199.0</v>
      </c>
      <c r="G74" s="17">
        <v>3340.0</v>
      </c>
      <c r="H74" s="17">
        <v>0.0</v>
      </c>
      <c r="I74" s="17">
        <v>0.0</v>
      </c>
      <c r="J74" s="17">
        <f t="shared" si="1"/>
        <v>27539</v>
      </c>
      <c r="K74" s="17">
        <v>0.0</v>
      </c>
    </row>
    <row r="75" ht="15.75" customHeight="1">
      <c r="A75" s="14">
        <v>198.0</v>
      </c>
      <c r="B75" s="14" t="s">
        <v>592</v>
      </c>
      <c r="C75" s="14" t="s">
        <v>478</v>
      </c>
      <c r="D75" s="14" t="s">
        <v>479</v>
      </c>
      <c r="E75" s="14">
        <v>11.0</v>
      </c>
      <c r="F75" s="17">
        <v>26389.0</v>
      </c>
      <c r="G75" s="17">
        <v>0.0</v>
      </c>
      <c r="H75" s="17">
        <v>0.0</v>
      </c>
      <c r="I75" s="17">
        <v>0.0</v>
      </c>
      <c r="J75" s="17">
        <f t="shared" si="1"/>
        <v>26389</v>
      </c>
      <c r="K75" s="17">
        <v>159.93</v>
      </c>
    </row>
    <row r="76" ht="15.75" customHeight="1">
      <c r="A76" s="14">
        <v>969.0</v>
      </c>
      <c r="B76" s="14" t="s">
        <v>488</v>
      </c>
      <c r="C76" s="14" t="s">
        <v>478</v>
      </c>
      <c r="D76" s="14" t="s">
        <v>479</v>
      </c>
      <c r="E76" s="14">
        <v>10.0</v>
      </c>
      <c r="F76" s="17">
        <v>23590.0</v>
      </c>
      <c r="G76" s="17">
        <v>2599.0</v>
      </c>
      <c r="H76" s="17">
        <v>0.0</v>
      </c>
      <c r="I76" s="17">
        <v>0.0</v>
      </c>
      <c r="J76" s="17">
        <f t="shared" si="1"/>
        <v>26189</v>
      </c>
      <c r="K76" s="17">
        <v>2339.1</v>
      </c>
    </row>
    <row r="77" ht="15.75" customHeight="1">
      <c r="A77" s="14">
        <v>972.0</v>
      </c>
      <c r="B77" s="14" t="s">
        <v>647</v>
      </c>
      <c r="C77" s="14" t="s">
        <v>478</v>
      </c>
      <c r="D77" s="14" t="s">
        <v>479</v>
      </c>
      <c r="E77" s="14">
        <v>6.0</v>
      </c>
      <c r="F77" s="17">
        <v>13194.0</v>
      </c>
      <c r="G77" s="17">
        <v>5424.2</v>
      </c>
      <c r="H77" s="17">
        <v>0.0</v>
      </c>
      <c r="I77" s="17">
        <v>6597.0</v>
      </c>
      <c r="J77" s="17">
        <f t="shared" si="1"/>
        <v>25215.2</v>
      </c>
      <c r="K77" s="17">
        <v>0.0</v>
      </c>
    </row>
    <row r="78" ht="15.75" customHeight="1">
      <c r="A78" s="14">
        <v>6.0</v>
      </c>
      <c r="B78" s="14" t="s">
        <v>522</v>
      </c>
      <c r="C78" s="14" t="s">
        <v>478</v>
      </c>
      <c r="D78" s="14" t="s">
        <v>479</v>
      </c>
      <c r="E78" s="14">
        <v>12.0</v>
      </c>
      <c r="F78" s="17">
        <v>25100.0</v>
      </c>
      <c r="G78" s="17">
        <v>0.0</v>
      </c>
      <c r="H78" s="17">
        <v>0.0</v>
      </c>
      <c r="I78" s="17">
        <v>0.0</v>
      </c>
      <c r="J78" s="17">
        <f t="shared" si="1"/>
        <v>25100</v>
      </c>
      <c r="K78" s="17">
        <v>9752.77</v>
      </c>
    </row>
    <row r="79" ht="15.75" customHeight="1">
      <c r="A79" s="14">
        <v>138.0</v>
      </c>
      <c r="B79" s="14" t="s">
        <v>581</v>
      </c>
      <c r="C79" s="14" t="s">
        <v>478</v>
      </c>
      <c r="D79" s="14" t="s">
        <v>479</v>
      </c>
      <c r="E79" s="14">
        <v>16.0</v>
      </c>
      <c r="F79" s="17">
        <v>24093.0</v>
      </c>
      <c r="G79" s="17">
        <v>799.6</v>
      </c>
      <c r="H79" s="17">
        <v>0.0</v>
      </c>
      <c r="I79" s="17">
        <v>0.0</v>
      </c>
      <c r="J79" s="17">
        <f t="shared" si="1"/>
        <v>24892.6</v>
      </c>
      <c r="K79" s="17">
        <v>476.67</v>
      </c>
    </row>
    <row r="80" ht="15.75" customHeight="1">
      <c r="A80" s="14">
        <v>196.0</v>
      </c>
      <c r="B80" s="14" t="s">
        <v>428</v>
      </c>
      <c r="C80" s="14" t="s">
        <v>478</v>
      </c>
      <c r="D80" s="14" t="s">
        <v>479</v>
      </c>
      <c r="E80" s="14">
        <v>16.0</v>
      </c>
      <c r="F80" s="17">
        <v>24184.0</v>
      </c>
      <c r="G80" s="17">
        <v>0.0</v>
      </c>
      <c r="H80" s="17">
        <v>0.0</v>
      </c>
      <c r="I80" s="17">
        <v>0.0</v>
      </c>
      <c r="J80" s="17">
        <f t="shared" si="1"/>
        <v>24184</v>
      </c>
      <c r="K80" s="17">
        <v>3447.7</v>
      </c>
    </row>
    <row r="81" ht="15.75" customHeight="1">
      <c r="A81" s="14">
        <v>137.0</v>
      </c>
      <c r="B81" s="14" t="s">
        <v>459</v>
      </c>
      <c r="C81" s="14" t="s">
        <v>478</v>
      </c>
      <c r="D81" s="14" t="s">
        <v>479</v>
      </c>
      <c r="E81" s="14">
        <v>12.0</v>
      </c>
      <c r="F81" s="17">
        <v>24089.0</v>
      </c>
      <c r="G81" s="17">
        <v>0.0</v>
      </c>
      <c r="H81" s="17">
        <v>0.0</v>
      </c>
      <c r="I81" s="17">
        <v>0.0</v>
      </c>
      <c r="J81" s="17">
        <f t="shared" si="1"/>
        <v>24089</v>
      </c>
      <c r="K81" s="17">
        <v>0.0</v>
      </c>
    </row>
    <row r="82" ht="15.75" customHeight="1">
      <c r="A82" s="14">
        <v>100.0</v>
      </c>
      <c r="B82" s="14" t="s">
        <v>648</v>
      </c>
      <c r="C82" s="14" t="s">
        <v>478</v>
      </c>
      <c r="D82" s="14" t="s">
        <v>479</v>
      </c>
      <c r="E82" s="14">
        <v>11.0</v>
      </c>
      <c r="F82" s="17">
        <v>20689.0</v>
      </c>
      <c r="G82" s="17">
        <v>3298.5</v>
      </c>
      <c r="H82" s="17">
        <v>0.0</v>
      </c>
      <c r="I82" s="17">
        <v>0.0</v>
      </c>
      <c r="J82" s="17">
        <f t="shared" si="1"/>
        <v>23987.5</v>
      </c>
      <c r="K82" s="17">
        <v>0.0</v>
      </c>
    </row>
    <row r="83" ht="15.75" customHeight="1">
      <c r="A83" s="14">
        <v>91.0</v>
      </c>
      <c r="B83" s="14" t="s">
        <v>649</v>
      </c>
      <c r="C83" s="14" t="s">
        <v>478</v>
      </c>
      <c r="D83" s="14" t="s">
        <v>479</v>
      </c>
      <c r="E83" s="14">
        <v>12.0</v>
      </c>
      <c r="F83" s="17">
        <v>23488.0</v>
      </c>
      <c r="G83" s="17">
        <v>0.0</v>
      </c>
      <c r="H83" s="17">
        <v>0.0</v>
      </c>
      <c r="I83" s="17">
        <v>0.0</v>
      </c>
      <c r="J83" s="17">
        <f t="shared" si="1"/>
        <v>23488</v>
      </c>
      <c r="K83" s="17">
        <v>0.0</v>
      </c>
    </row>
    <row r="84" ht="15.75" customHeight="1">
      <c r="A84" s="14">
        <v>195.0</v>
      </c>
      <c r="B84" s="14" t="s">
        <v>650</v>
      </c>
      <c r="C84" s="14" t="s">
        <v>478</v>
      </c>
      <c r="D84" s="14" t="s">
        <v>479</v>
      </c>
      <c r="E84" s="14">
        <v>11.0</v>
      </c>
      <c r="F84" s="17">
        <v>21292.0</v>
      </c>
      <c r="G84" s="17">
        <v>2053.33</v>
      </c>
      <c r="H84" s="17">
        <v>0.0</v>
      </c>
      <c r="I84" s="17">
        <v>0.0</v>
      </c>
      <c r="J84" s="17">
        <f t="shared" si="1"/>
        <v>23345.33</v>
      </c>
      <c r="K84" s="17">
        <v>0.0</v>
      </c>
    </row>
    <row r="85" ht="15.75" customHeight="1">
      <c r="A85" s="14">
        <v>271.0</v>
      </c>
      <c r="B85" s="14" t="s">
        <v>651</v>
      </c>
      <c r="C85" s="14" t="s">
        <v>478</v>
      </c>
      <c r="D85" s="14" t="s">
        <v>479</v>
      </c>
      <c r="E85" s="14">
        <v>8.0</v>
      </c>
      <c r="F85" s="17">
        <v>23192.0</v>
      </c>
      <c r="G85" s="17">
        <v>0.0</v>
      </c>
      <c r="H85" s="17">
        <v>0.0</v>
      </c>
      <c r="I85" s="17">
        <v>0.0</v>
      </c>
      <c r="J85" s="17">
        <f t="shared" si="1"/>
        <v>23192</v>
      </c>
      <c r="K85" s="17">
        <v>0.0</v>
      </c>
    </row>
    <row r="86" ht="15.75" customHeight="1">
      <c r="A86" s="14">
        <v>30.0</v>
      </c>
      <c r="B86" s="14" t="s">
        <v>652</v>
      </c>
      <c r="C86" s="14" t="s">
        <v>478</v>
      </c>
      <c r="D86" s="14" t="s">
        <v>479</v>
      </c>
      <c r="E86" s="14">
        <v>11.0</v>
      </c>
      <c r="F86" s="17">
        <v>23089.0</v>
      </c>
      <c r="G86" s="17">
        <v>0.0</v>
      </c>
      <c r="H86" s="17">
        <v>0.0</v>
      </c>
      <c r="I86" s="17">
        <v>0.0</v>
      </c>
      <c r="J86" s="17">
        <f t="shared" si="1"/>
        <v>23089</v>
      </c>
      <c r="K86" s="17">
        <v>0.0</v>
      </c>
    </row>
    <row r="87" ht="15.75" customHeight="1">
      <c r="A87" s="14">
        <v>154.0</v>
      </c>
      <c r="B87" s="14" t="s">
        <v>653</v>
      </c>
      <c r="C87" s="14" t="s">
        <v>478</v>
      </c>
      <c r="D87" s="14" t="s">
        <v>479</v>
      </c>
      <c r="E87" s="14">
        <v>14.0</v>
      </c>
      <c r="F87" s="17">
        <v>22386.0</v>
      </c>
      <c r="G87" s="17">
        <v>0.0</v>
      </c>
      <c r="H87" s="17">
        <v>0.0</v>
      </c>
      <c r="I87" s="17">
        <v>0.0</v>
      </c>
      <c r="J87" s="17">
        <f t="shared" si="1"/>
        <v>22386</v>
      </c>
      <c r="K87" s="17">
        <v>0.0</v>
      </c>
    </row>
    <row r="88" ht="15.75" customHeight="1">
      <c r="A88" s="14">
        <v>161.0</v>
      </c>
      <c r="B88" s="14" t="s">
        <v>654</v>
      </c>
      <c r="C88" s="14" t="s">
        <v>478</v>
      </c>
      <c r="D88" s="14" t="s">
        <v>479</v>
      </c>
      <c r="E88" s="14">
        <v>9.0</v>
      </c>
      <c r="F88" s="17">
        <v>22091.0</v>
      </c>
      <c r="G88" s="17">
        <v>0.0</v>
      </c>
      <c r="H88" s="17">
        <v>0.0</v>
      </c>
      <c r="I88" s="17">
        <v>0.0</v>
      </c>
      <c r="J88" s="17">
        <f t="shared" si="1"/>
        <v>22091</v>
      </c>
      <c r="K88" s="17">
        <v>0.0</v>
      </c>
    </row>
    <row r="89" ht="15.75" customHeight="1">
      <c r="A89" s="14">
        <v>33.0</v>
      </c>
      <c r="B89" s="14" t="s">
        <v>533</v>
      </c>
      <c r="C89" s="14" t="s">
        <v>478</v>
      </c>
      <c r="D89" s="14" t="s">
        <v>479</v>
      </c>
      <c r="E89" s="14">
        <v>11.0</v>
      </c>
      <c r="F89" s="17">
        <v>21790.0</v>
      </c>
      <c r="G89" s="17">
        <v>153.27</v>
      </c>
      <c r="H89" s="17">
        <v>0.0</v>
      </c>
      <c r="I89" s="17">
        <v>0.0</v>
      </c>
      <c r="J89" s="17">
        <f t="shared" si="1"/>
        <v>21943.27</v>
      </c>
      <c r="K89" s="17">
        <v>4461.15</v>
      </c>
    </row>
    <row r="90" ht="15.75" customHeight="1">
      <c r="A90" s="14">
        <v>42.0</v>
      </c>
      <c r="B90" s="14" t="s">
        <v>354</v>
      </c>
      <c r="C90" s="14" t="s">
        <v>478</v>
      </c>
      <c r="D90" s="14" t="s">
        <v>479</v>
      </c>
      <c r="E90" s="14">
        <v>18.0</v>
      </c>
      <c r="F90" s="17">
        <v>21636.0</v>
      </c>
      <c r="G90" s="17">
        <v>0.0</v>
      </c>
      <c r="H90" s="17">
        <v>0.0</v>
      </c>
      <c r="I90" s="17">
        <v>0.0</v>
      </c>
      <c r="J90" s="17">
        <f t="shared" si="1"/>
        <v>21636</v>
      </c>
      <c r="K90" s="17">
        <v>0.0</v>
      </c>
    </row>
    <row r="91" ht="15.75" customHeight="1">
      <c r="A91" s="14">
        <v>970.0</v>
      </c>
      <c r="B91" s="14" t="s">
        <v>655</v>
      </c>
      <c r="C91" s="14" t="s">
        <v>478</v>
      </c>
      <c r="D91" s="14" t="s">
        <v>479</v>
      </c>
      <c r="E91" s="14">
        <v>2.0</v>
      </c>
      <c r="F91" s="17">
        <v>21498.0</v>
      </c>
      <c r="G91" s="17">
        <v>0.0</v>
      </c>
      <c r="H91" s="17">
        <v>0.0</v>
      </c>
      <c r="I91" s="17">
        <v>0.0</v>
      </c>
      <c r="J91" s="17">
        <f t="shared" si="1"/>
        <v>21498</v>
      </c>
      <c r="K91" s="17">
        <v>0.0</v>
      </c>
    </row>
    <row r="92" ht="15.75" customHeight="1">
      <c r="A92" s="14">
        <v>76.0</v>
      </c>
      <c r="B92" s="14" t="s">
        <v>656</v>
      </c>
      <c r="C92" s="14" t="s">
        <v>478</v>
      </c>
      <c r="D92" s="14" t="s">
        <v>479</v>
      </c>
      <c r="E92" s="14">
        <v>12.0</v>
      </c>
      <c r="F92" s="17">
        <v>21188.0</v>
      </c>
      <c r="G92" s="17">
        <v>0.0</v>
      </c>
      <c r="H92" s="17">
        <v>0.0</v>
      </c>
      <c r="I92" s="17">
        <v>0.0</v>
      </c>
      <c r="J92" s="17">
        <f t="shared" si="1"/>
        <v>21188</v>
      </c>
      <c r="K92" s="17">
        <v>0.0</v>
      </c>
    </row>
    <row r="93" ht="15.75" customHeight="1">
      <c r="A93" s="14">
        <v>985.0</v>
      </c>
      <c r="B93" s="14" t="s">
        <v>568</v>
      </c>
      <c r="C93" s="14" t="s">
        <v>478</v>
      </c>
      <c r="D93" s="14" t="s">
        <v>479</v>
      </c>
      <c r="E93" s="14">
        <v>14.0</v>
      </c>
      <c r="F93" s="17">
        <v>21000.0</v>
      </c>
      <c r="G93" s="17">
        <v>0.0</v>
      </c>
      <c r="H93" s="17">
        <v>0.0</v>
      </c>
      <c r="I93" s="17">
        <v>0.0</v>
      </c>
      <c r="J93" s="17">
        <f t="shared" si="1"/>
        <v>21000</v>
      </c>
      <c r="K93" s="17">
        <v>800.0</v>
      </c>
    </row>
    <row r="94" ht="15.75" customHeight="1">
      <c r="A94" s="14">
        <v>131.0</v>
      </c>
      <c r="B94" s="14" t="s">
        <v>114</v>
      </c>
      <c r="C94" s="14" t="s">
        <v>478</v>
      </c>
      <c r="D94" s="14" t="s">
        <v>479</v>
      </c>
      <c r="E94" s="14">
        <v>11.0</v>
      </c>
      <c r="F94" s="17">
        <v>16598.0</v>
      </c>
      <c r="G94" s="17">
        <v>3679.46</v>
      </c>
      <c r="H94" s="17">
        <v>0.0</v>
      </c>
      <c r="I94" s="17">
        <v>0.0</v>
      </c>
      <c r="J94" s="17">
        <f t="shared" si="1"/>
        <v>20277.46</v>
      </c>
      <c r="K94" s="17">
        <v>886.67</v>
      </c>
    </row>
    <row r="95" ht="15.75" customHeight="1">
      <c r="A95" s="14">
        <v>214.0</v>
      </c>
      <c r="B95" s="14" t="s">
        <v>657</v>
      </c>
      <c r="C95" s="14" t="s">
        <v>478</v>
      </c>
      <c r="D95" s="14" t="s">
        <v>479</v>
      </c>
      <c r="E95" s="14">
        <v>10.0</v>
      </c>
      <c r="F95" s="17">
        <v>19990.0</v>
      </c>
      <c r="G95" s="17">
        <v>0.0</v>
      </c>
      <c r="H95" s="17">
        <v>193.45</v>
      </c>
      <c r="I95" s="17">
        <v>0.0</v>
      </c>
      <c r="J95" s="17">
        <f t="shared" si="1"/>
        <v>20183.45</v>
      </c>
      <c r="K95" s="17">
        <v>0.0</v>
      </c>
    </row>
    <row r="96" ht="15.75" customHeight="1">
      <c r="A96" s="14">
        <v>261.0</v>
      </c>
      <c r="B96" s="14" t="s">
        <v>658</v>
      </c>
      <c r="C96" s="14" t="s">
        <v>478</v>
      </c>
      <c r="D96" s="14" t="s">
        <v>479</v>
      </c>
      <c r="E96" s="14">
        <v>19.0</v>
      </c>
      <c r="F96" s="17">
        <v>19785.0</v>
      </c>
      <c r="G96" s="17">
        <v>0.0</v>
      </c>
      <c r="H96" s="17">
        <v>0.0</v>
      </c>
      <c r="I96" s="17">
        <v>0.0</v>
      </c>
      <c r="J96" s="17">
        <f t="shared" si="1"/>
        <v>19785</v>
      </c>
      <c r="K96" s="17">
        <v>0.0</v>
      </c>
    </row>
    <row r="97" ht="15.75" customHeight="1">
      <c r="A97" s="14">
        <v>69.0</v>
      </c>
      <c r="B97" s="14" t="s">
        <v>659</v>
      </c>
      <c r="C97" s="14" t="s">
        <v>478</v>
      </c>
      <c r="D97" s="14" t="s">
        <v>479</v>
      </c>
      <c r="E97" s="14">
        <v>10.0</v>
      </c>
      <c r="F97" s="17">
        <v>17991.0</v>
      </c>
      <c r="G97" s="17">
        <v>1620.0</v>
      </c>
      <c r="H97" s="17">
        <v>0.0</v>
      </c>
      <c r="I97" s="17">
        <v>0.0</v>
      </c>
      <c r="J97" s="17">
        <f t="shared" si="1"/>
        <v>19611</v>
      </c>
      <c r="K97" s="17">
        <v>0.0</v>
      </c>
    </row>
    <row r="98" ht="15.75" customHeight="1">
      <c r="A98" s="14">
        <v>211.0</v>
      </c>
      <c r="B98" s="14" t="s">
        <v>660</v>
      </c>
      <c r="C98" s="14" t="s">
        <v>478</v>
      </c>
      <c r="D98" s="14" t="s">
        <v>479</v>
      </c>
      <c r="E98" s="14">
        <v>3.0</v>
      </c>
      <c r="F98" s="17">
        <v>19149.0</v>
      </c>
      <c r="G98" s="17">
        <v>0.0</v>
      </c>
      <c r="H98" s="17">
        <v>0.0</v>
      </c>
      <c r="I98" s="17">
        <v>0.0</v>
      </c>
      <c r="J98" s="17">
        <f t="shared" si="1"/>
        <v>19149</v>
      </c>
      <c r="K98" s="17">
        <v>0.0</v>
      </c>
    </row>
    <row r="99" ht="15.75" customHeight="1">
      <c r="A99" s="14">
        <v>135.0</v>
      </c>
      <c r="B99" s="14" t="s">
        <v>557</v>
      </c>
      <c r="C99" s="14" t="s">
        <v>478</v>
      </c>
      <c r="D99" s="14" t="s">
        <v>479</v>
      </c>
      <c r="E99" s="14">
        <v>11.0</v>
      </c>
      <c r="F99" s="17">
        <v>18696.0</v>
      </c>
      <c r="G99" s="17">
        <v>56.67</v>
      </c>
      <c r="H99" s="17">
        <v>0.0</v>
      </c>
      <c r="I99" s="17">
        <v>0.0</v>
      </c>
      <c r="J99" s="17">
        <f t="shared" si="1"/>
        <v>18752.67</v>
      </c>
      <c r="K99" s="17">
        <v>1303.33</v>
      </c>
    </row>
    <row r="100" ht="15.75" customHeight="1">
      <c r="A100" s="14">
        <v>93.0</v>
      </c>
      <c r="B100" s="14" t="s">
        <v>661</v>
      </c>
      <c r="C100" s="14" t="s">
        <v>478</v>
      </c>
      <c r="D100" s="14" t="s">
        <v>479</v>
      </c>
      <c r="E100" s="14">
        <v>10.0</v>
      </c>
      <c r="F100" s="17">
        <v>15890.0</v>
      </c>
      <c r="G100" s="17">
        <v>509.7</v>
      </c>
      <c r="H100" s="17">
        <v>0.0</v>
      </c>
      <c r="I100" s="17">
        <v>2300.0</v>
      </c>
      <c r="J100" s="17">
        <f t="shared" si="1"/>
        <v>18699.7</v>
      </c>
      <c r="K100" s="17">
        <v>0.0</v>
      </c>
    </row>
    <row r="101" ht="15.75" customHeight="1">
      <c r="A101" s="14">
        <v>227.0</v>
      </c>
      <c r="B101" s="14" t="s">
        <v>662</v>
      </c>
      <c r="C101" s="14" t="s">
        <v>478</v>
      </c>
      <c r="D101" s="14" t="s">
        <v>479</v>
      </c>
      <c r="E101" s="14">
        <v>5.0</v>
      </c>
      <c r="F101" s="17">
        <v>11395.0</v>
      </c>
      <c r="G101" s="17">
        <v>2352.3</v>
      </c>
      <c r="H101" s="17">
        <v>0.0</v>
      </c>
      <c r="I101" s="17">
        <v>4798.0</v>
      </c>
      <c r="J101" s="17">
        <f t="shared" si="1"/>
        <v>18545.3</v>
      </c>
      <c r="K101" s="17">
        <v>0.0</v>
      </c>
    </row>
    <row r="102" ht="15.75" customHeight="1">
      <c r="A102" s="14">
        <v>252.0</v>
      </c>
      <c r="B102" s="14" t="s">
        <v>663</v>
      </c>
      <c r="C102" s="14" t="s">
        <v>478</v>
      </c>
      <c r="D102" s="14" t="s">
        <v>479</v>
      </c>
      <c r="E102" s="14">
        <v>7.0</v>
      </c>
      <c r="F102" s="17">
        <v>18299.0</v>
      </c>
      <c r="G102" s="17">
        <v>0.0</v>
      </c>
      <c r="H102" s="17">
        <v>0.0</v>
      </c>
      <c r="I102" s="17">
        <v>0.0</v>
      </c>
      <c r="J102" s="17">
        <f t="shared" si="1"/>
        <v>18299</v>
      </c>
      <c r="K102" s="17">
        <v>0.0</v>
      </c>
    </row>
    <row r="103" ht="15.75" customHeight="1">
      <c r="A103" s="14">
        <v>987.0</v>
      </c>
      <c r="B103" s="14" t="s">
        <v>664</v>
      </c>
      <c r="C103" s="14" t="s">
        <v>478</v>
      </c>
      <c r="D103" s="14" t="s">
        <v>479</v>
      </c>
      <c r="E103" s="14">
        <v>12.0</v>
      </c>
      <c r="F103" s="17">
        <v>18000.0</v>
      </c>
      <c r="G103" s="17">
        <v>0.0</v>
      </c>
      <c r="H103" s="17">
        <v>0.0</v>
      </c>
      <c r="I103" s="17">
        <v>0.0</v>
      </c>
      <c r="J103" s="17">
        <f t="shared" si="1"/>
        <v>18000</v>
      </c>
      <c r="K103" s="17">
        <v>0.0</v>
      </c>
    </row>
    <row r="104" ht="15.75" customHeight="1">
      <c r="A104" s="14">
        <v>104.0</v>
      </c>
      <c r="B104" s="14" t="s">
        <v>665</v>
      </c>
      <c r="C104" s="14" t="s">
        <v>478</v>
      </c>
      <c r="D104" s="14" t="s">
        <v>479</v>
      </c>
      <c r="E104" s="14">
        <v>10.0</v>
      </c>
      <c r="F104" s="17">
        <v>17990.0</v>
      </c>
      <c r="G104" s="17">
        <v>0.0</v>
      </c>
      <c r="H104" s="17">
        <v>0.0</v>
      </c>
      <c r="I104" s="17">
        <v>0.0</v>
      </c>
      <c r="J104" s="17">
        <f t="shared" si="1"/>
        <v>17990</v>
      </c>
      <c r="K104" s="17">
        <v>0.0</v>
      </c>
    </row>
    <row r="105" ht="15.75" customHeight="1">
      <c r="A105" s="14">
        <v>45.0</v>
      </c>
      <c r="B105" s="14" t="s">
        <v>543</v>
      </c>
      <c r="C105" s="14" t="s">
        <v>478</v>
      </c>
      <c r="D105" s="14" t="s">
        <v>479</v>
      </c>
      <c r="E105" s="14">
        <v>8.0</v>
      </c>
      <c r="F105" s="17">
        <v>15093.0</v>
      </c>
      <c r="G105" s="17">
        <v>2705.7</v>
      </c>
      <c r="H105" s="17">
        <v>0.0</v>
      </c>
      <c r="I105" s="17">
        <v>0.0</v>
      </c>
      <c r="J105" s="17">
        <f t="shared" si="1"/>
        <v>17798.7</v>
      </c>
      <c r="K105" s="17">
        <v>3065.33</v>
      </c>
    </row>
    <row r="106" ht="15.75" customHeight="1">
      <c r="A106" s="14">
        <v>260.0</v>
      </c>
      <c r="B106" s="14" t="s">
        <v>329</v>
      </c>
      <c r="C106" s="14" t="s">
        <v>478</v>
      </c>
      <c r="D106" s="14" t="s">
        <v>479</v>
      </c>
      <c r="E106" s="14">
        <v>13.0</v>
      </c>
      <c r="F106" s="17">
        <v>17537.0</v>
      </c>
      <c r="G106" s="17">
        <v>0.0</v>
      </c>
      <c r="H106" s="17">
        <v>0.0</v>
      </c>
      <c r="I106" s="17">
        <v>0.0</v>
      </c>
      <c r="J106" s="17">
        <f t="shared" si="1"/>
        <v>17537</v>
      </c>
      <c r="K106" s="17">
        <v>0.0</v>
      </c>
    </row>
    <row r="107" ht="15.75" customHeight="1">
      <c r="A107" s="14">
        <v>130.0</v>
      </c>
      <c r="B107" s="14" t="s">
        <v>666</v>
      </c>
      <c r="C107" s="14" t="s">
        <v>478</v>
      </c>
      <c r="D107" s="14" t="s">
        <v>479</v>
      </c>
      <c r="E107" s="14">
        <v>10.0</v>
      </c>
      <c r="F107" s="17">
        <v>17079.0</v>
      </c>
      <c r="G107" s="17">
        <v>453.33</v>
      </c>
      <c r="H107" s="17">
        <v>0.0</v>
      </c>
      <c r="I107" s="17">
        <v>0.0</v>
      </c>
      <c r="J107" s="17">
        <f t="shared" si="1"/>
        <v>17532.33</v>
      </c>
      <c r="K107" s="17">
        <v>0.0</v>
      </c>
    </row>
    <row r="108" ht="15.75" customHeight="1">
      <c r="A108" s="14">
        <v>153.0</v>
      </c>
      <c r="B108" s="14" t="s">
        <v>667</v>
      </c>
      <c r="C108" s="14" t="s">
        <v>478</v>
      </c>
      <c r="D108" s="14" t="s">
        <v>479</v>
      </c>
      <c r="E108" s="14">
        <v>9.0</v>
      </c>
      <c r="F108" s="17">
        <v>17292.0</v>
      </c>
      <c r="G108" s="17">
        <v>46.67</v>
      </c>
      <c r="H108" s="17">
        <v>0.0</v>
      </c>
      <c r="I108" s="17">
        <v>0.0</v>
      </c>
      <c r="J108" s="17">
        <f t="shared" si="1"/>
        <v>17338.67</v>
      </c>
      <c r="K108" s="17">
        <v>0.0</v>
      </c>
    </row>
    <row r="109" ht="15.75" customHeight="1">
      <c r="A109" s="14">
        <v>79.0</v>
      </c>
      <c r="B109" s="14" t="s">
        <v>668</v>
      </c>
      <c r="C109" s="14" t="s">
        <v>669</v>
      </c>
      <c r="D109" s="14" t="s">
        <v>83</v>
      </c>
      <c r="E109" s="14">
        <v>0.0</v>
      </c>
      <c r="F109" s="17">
        <v>0.0</v>
      </c>
      <c r="G109" s="17">
        <v>16974.53</v>
      </c>
      <c r="H109" s="17">
        <v>0.0</v>
      </c>
      <c r="I109" s="17">
        <v>0.0</v>
      </c>
      <c r="J109" s="17">
        <f t="shared" si="1"/>
        <v>16974.53</v>
      </c>
      <c r="K109" s="17">
        <v>0.0</v>
      </c>
    </row>
    <row r="110" ht="15.75" customHeight="1">
      <c r="A110" s="14">
        <v>199.0</v>
      </c>
      <c r="B110" s="14" t="s">
        <v>398</v>
      </c>
      <c r="C110" s="14" t="s">
        <v>478</v>
      </c>
      <c r="D110" s="14" t="s">
        <v>479</v>
      </c>
      <c r="E110" s="14">
        <v>4.0</v>
      </c>
      <c r="F110" s="17">
        <v>16696.0</v>
      </c>
      <c r="G110" s="17">
        <v>0.0</v>
      </c>
      <c r="H110" s="17">
        <v>0.0</v>
      </c>
      <c r="I110" s="17">
        <v>0.0</v>
      </c>
      <c r="J110" s="17">
        <f t="shared" si="1"/>
        <v>16696</v>
      </c>
      <c r="K110" s="17">
        <v>0.0</v>
      </c>
    </row>
    <row r="111" ht="15.75" customHeight="1">
      <c r="A111" s="14">
        <v>281.0</v>
      </c>
      <c r="B111" s="14" t="s">
        <v>670</v>
      </c>
      <c r="C111" s="14" t="s">
        <v>478</v>
      </c>
      <c r="D111" s="14" t="s">
        <v>479</v>
      </c>
      <c r="E111" s="14">
        <v>5.0</v>
      </c>
      <c r="F111" s="17">
        <v>16495.0</v>
      </c>
      <c r="G111" s="17">
        <v>0.0</v>
      </c>
      <c r="H111" s="17">
        <v>0.0</v>
      </c>
      <c r="I111" s="17">
        <v>0.0</v>
      </c>
      <c r="J111" s="17">
        <f t="shared" si="1"/>
        <v>16495</v>
      </c>
      <c r="K111" s="17">
        <v>0.0</v>
      </c>
    </row>
    <row r="112" ht="15.75" customHeight="1">
      <c r="A112" s="14">
        <v>35.0</v>
      </c>
      <c r="B112" s="14" t="s">
        <v>671</v>
      </c>
      <c r="C112" s="14" t="s">
        <v>478</v>
      </c>
      <c r="D112" s="14" t="s">
        <v>479</v>
      </c>
      <c r="E112" s="14">
        <v>9.0</v>
      </c>
      <c r="F112" s="17">
        <v>11094.0</v>
      </c>
      <c r="G112" s="17">
        <v>2540.0</v>
      </c>
      <c r="H112" s="17">
        <v>0.0</v>
      </c>
      <c r="I112" s="17">
        <v>2300.0</v>
      </c>
      <c r="J112" s="17">
        <f t="shared" si="1"/>
        <v>15934</v>
      </c>
      <c r="K112" s="17">
        <v>0.0</v>
      </c>
    </row>
    <row r="113" ht="15.75" customHeight="1">
      <c r="A113" s="14">
        <v>230.0</v>
      </c>
      <c r="B113" s="14" t="s">
        <v>564</v>
      </c>
      <c r="C113" s="14" t="s">
        <v>478</v>
      </c>
      <c r="D113" s="14" t="s">
        <v>479</v>
      </c>
      <c r="E113" s="14">
        <v>14.0</v>
      </c>
      <c r="F113" s="17">
        <v>15400.0</v>
      </c>
      <c r="G113" s="17">
        <v>0.0</v>
      </c>
      <c r="H113" s="17">
        <v>0.0</v>
      </c>
      <c r="I113" s="17">
        <v>0.0</v>
      </c>
      <c r="J113" s="17">
        <f t="shared" si="1"/>
        <v>15400</v>
      </c>
      <c r="K113" s="17">
        <v>990.0</v>
      </c>
    </row>
    <row r="114" ht="15.75" customHeight="1">
      <c r="A114" s="14">
        <v>89.0</v>
      </c>
      <c r="B114" s="14" t="s">
        <v>202</v>
      </c>
      <c r="C114" s="14" t="s">
        <v>478</v>
      </c>
      <c r="D114" s="14" t="s">
        <v>479</v>
      </c>
      <c r="E114" s="14">
        <v>8.0</v>
      </c>
      <c r="F114" s="17">
        <v>15192.0</v>
      </c>
      <c r="G114" s="17">
        <v>0.0</v>
      </c>
      <c r="H114" s="17">
        <v>0.0</v>
      </c>
      <c r="I114" s="17">
        <v>0.0</v>
      </c>
      <c r="J114" s="17">
        <f t="shared" si="1"/>
        <v>15192</v>
      </c>
      <c r="K114" s="17">
        <v>949.5</v>
      </c>
    </row>
    <row r="115" ht="15.75" customHeight="1">
      <c r="A115" s="14">
        <v>263.0</v>
      </c>
      <c r="B115" s="14" t="s">
        <v>672</v>
      </c>
      <c r="C115" s="14" t="s">
        <v>478</v>
      </c>
      <c r="D115" s="14" t="s">
        <v>479</v>
      </c>
      <c r="E115" s="14">
        <v>2.0</v>
      </c>
      <c r="F115" s="17">
        <v>14998.0</v>
      </c>
      <c r="G115" s="17">
        <v>0.0</v>
      </c>
      <c r="H115" s="17">
        <v>0.0</v>
      </c>
      <c r="I115" s="17">
        <v>0.0</v>
      </c>
      <c r="J115" s="17">
        <f t="shared" si="1"/>
        <v>14998</v>
      </c>
      <c r="K115" s="17">
        <v>0.0</v>
      </c>
    </row>
    <row r="116" ht="15.75" customHeight="1">
      <c r="A116" s="14">
        <v>220.0</v>
      </c>
      <c r="B116" s="14" t="s">
        <v>432</v>
      </c>
      <c r="C116" s="14" t="s">
        <v>478</v>
      </c>
      <c r="D116" s="14" t="s">
        <v>479</v>
      </c>
      <c r="E116" s="14">
        <v>7.0</v>
      </c>
      <c r="F116" s="17">
        <v>14995.0</v>
      </c>
      <c r="G116" s="17">
        <v>0.0</v>
      </c>
      <c r="H116" s="17">
        <v>0.0</v>
      </c>
      <c r="I116" s="17">
        <v>0.0</v>
      </c>
      <c r="J116" s="17">
        <f t="shared" si="1"/>
        <v>14995</v>
      </c>
      <c r="K116" s="17">
        <v>0.0</v>
      </c>
    </row>
    <row r="117" ht="15.75" customHeight="1">
      <c r="A117" s="14">
        <v>24.0</v>
      </c>
      <c r="B117" s="14" t="s">
        <v>673</v>
      </c>
      <c r="C117" s="14" t="s">
        <v>478</v>
      </c>
      <c r="D117" s="14" t="s">
        <v>479</v>
      </c>
      <c r="E117" s="14">
        <v>5.0</v>
      </c>
      <c r="F117" s="17">
        <v>7496.0</v>
      </c>
      <c r="G117" s="17">
        <v>7496.0</v>
      </c>
      <c r="H117" s="17">
        <v>0.0</v>
      </c>
      <c r="I117" s="17">
        <v>0.0</v>
      </c>
      <c r="J117" s="17">
        <f t="shared" si="1"/>
        <v>14992</v>
      </c>
      <c r="K117" s="17">
        <v>0.0</v>
      </c>
    </row>
    <row r="118" ht="15.75" customHeight="1">
      <c r="A118" s="14">
        <v>129.0</v>
      </c>
      <c r="B118" s="14" t="s">
        <v>674</v>
      </c>
      <c r="C118" s="14" t="s">
        <v>478</v>
      </c>
      <c r="D118" s="14" t="s">
        <v>479</v>
      </c>
      <c r="E118" s="14">
        <v>10.0</v>
      </c>
      <c r="F118" s="17">
        <v>14031.0</v>
      </c>
      <c r="G118" s="17">
        <v>0.0</v>
      </c>
      <c r="H118" s="17">
        <v>0.0</v>
      </c>
      <c r="I118" s="17">
        <v>0.0</v>
      </c>
      <c r="J118" s="17">
        <f t="shared" si="1"/>
        <v>14031</v>
      </c>
      <c r="K118" s="17">
        <v>0.0</v>
      </c>
    </row>
    <row r="119" ht="15.75" customHeight="1">
      <c r="A119" s="14">
        <v>118.0</v>
      </c>
      <c r="B119" s="14" t="s">
        <v>675</v>
      </c>
      <c r="C119" s="14" t="s">
        <v>478</v>
      </c>
      <c r="D119" s="14" t="s">
        <v>479</v>
      </c>
      <c r="E119" s="14">
        <v>11.0</v>
      </c>
      <c r="F119" s="17">
        <v>14026.0</v>
      </c>
      <c r="G119" s="17">
        <v>0.0</v>
      </c>
      <c r="H119" s="17">
        <v>0.0</v>
      </c>
      <c r="I119" s="17">
        <v>0.0</v>
      </c>
      <c r="J119" s="17">
        <f t="shared" si="1"/>
        <v>14026</v>
      </c>
      <c r="K119" s="17">
        <v>0.0</v>
      </c>
    </row>
    <row r="120" ht="15.75" customHeight="1">
      <c r="A120" s="14">
        <v>54.0</v>
      </c>
      <c r="B120" s="14" t="s">
        <v>676</v>
      </c>
      <c r="C120" s="14" t="s">
        <v>478</v>
      </c>
      <c r="D120" s="14" t="s">
        <v>479</v>
      </c>
      <c r="E120" s="14">
        <v>7.0</v>
      </c>
      <c r="F120" s="17">
        <v>12596.0</v>
      </c>
      <c r="G120" s="17">
        <v>800.0</v>
      </c>
      <c r="H120" s="17">
        <v>0.0</v>
      </c>
      <c r="I120" s="17">
        <v>0.0</v>
      </c>
      <c r="J120" s="17">
        <f t="shared" si="1"/>
        <v>13396</v>
      </c>
      <c r="K120" s="17">
        <v>0.0</v>
      </c>
    </row>
    <row r="121" ht="15.75" customHeight="1">
      <c r="A121" s="14">
        <v>216.0</v>
      </c>
      <c r="B121" s="14" t="s">
        <v>677</v>
      </c>
      <c r="C121" s="14" t="s">
        <v>478</v>
      </c>
      <c r="D121" s="14" t="s">
        <v>479</v>
      </c>
      <c r="E121" s="14">
        <v>3.0</v>
      </c>
      <c r="F121" s="17">
        <v>13197.0</v>
      </c>
      <c r="G121" s="17">
        <v>0.0</v>
      </c>
      <c r="H121" s="17">
        <v>0.0</v>
      </c>
      <c r="I121" s="17">
        <v>0.0</v>
      </c>
      <c r="J121" s="17">
        <f t="shared" si="1"/>
        <v>13197</v>
      </c>
      <c r="K121" s="17">
        <v>0.0</v>
      </c>
    </row>
    <row r="122" ht="15.75" customHeight="1">
      <c r="A122" s="14">
        <v>219.0</v>
      </c>
      <c r="B122" s="14" t="s">
        <v>424</v>
      </c>
      <c r="C122" s="14" t="s">
        <v>478</v>
      </c>
      <c r="D122" s="14" t="s">
        <v>479</v>
      </c>
      <c r="E122" s="14">
        <v>6.0</v>
      </c>
      <c r="F122" s="17">
        <v>13194.0</v>
      </c>
      <c r="G122" s="17">
        <v>0.0</v>
      </c>
      <c r="H122" s="17">
        <v>0.0</v>
      </c>
      <c r="I122" s="17">
        <v>0.0</v>
      </c>
      <c r="J122" s="17">
        <f t="shared" si="1"/>
        <v>13194</v>
      </c>
      <c r="K122" s="17">
        <v>0.0</v>
      </c>
    </row>
    <row r="123" ht="15.75" customHeight="1">
      <c r="A123" s="14">
        <v>251.0</v>
      </c>
      <c r="B123" s="14" t="s">
        <v>678</v>
      </c>
      <c r="C123" s="14" t="s">
        <v>478</v>
      </c>
      <c r="D123" s="14" t="s">
        <v>479</v>
      </c>
      <c r="E123" s="14">
        <v>11.0</v>
      </c>
      <c r="F123" s="17">
        <v>13189.0</v>
      </c>
      <c r="G123" s="17">
        <v>0.0</v>
      </c>
      <c r="H123" s="17">
        <v>0.0</v>
      </c>
      <c r="I123" s="17">
        <v>0.0</v>
      </c>
      <c r="J123" s="17">
        <f t="shared" si="1"/>
        <v>13189</v>
      </c>
      <c r="K123" s="17">
        <v>0.0</v>
      </c>
    </row>
    <row r="124" ht="15.75" customHeight="1">
      <c r="A124" s="14">
        <v>204.0</v>
      </c>
      <c r="B124" s="14" t="s">
        <v>679</v>
      </c>
      <c r="C124" s="14" t="s">
        <v>478</v>
      </c>
      <c r="D124" s="14" t="s">
        <v>479</v>
      </c>
      <c r="E124" s="14">
        <v>14.0</v>
      </c>
      <c r="F124" s="17">
        <v>12600.0</v>
      </c>
      <c r="G124" s="17">
        <v>0.0</v>
      </c>
      <c r="H124" s="17">
        <v>0.0</v>
      </c>
      <c r="I124" s="17">
        <v>0.0</v>
      </c>
      <c r="J124" s="17">
        <f t="shared" si="1"/>
        <v>12600</v>
      </c>
      <c r="K124" s="17">
        <v>0.0</v>
      </c>
    </row>
    <row r="125" ht="15.75" customHeight="1">
      <c r="A125" s="14">
        <v>126.0</v>
      </c>
      <c r="B125" s="14" t="s">
        <v>680</v>
      </c>
      <c r="C125" s="14" t="s">
        <v>478</v>
      </c>
      <c r="D125" s="14" t="s">
        <v>479</v>
      </c>
      <c r="E125" s="14">
        <v>6.0</v>
      </c>
      <c r="F125" s="17">
        <v>12489.0</v>
      </c>
      <c r="G125" s="17">
        <v>0.0</v>
      </c>
      <c r="H125" s="17">
        <v>0.0</v>
      </c>
      <c r="I125" s="17">
        <v>0.0</v>
      </c>
      <c r="J125" s="17">
        <f t="shared" si="1"/>
        <v>12489</v>
      </c>
      <c r="K125" s="17">
        <v>0.0</v>
      </c>
    </row>
    <row r="126" ht="15.75" customHeight="1">
      <c r="A126" s="14">
        <v>17.0</v>
      </c>
      <c r="B126" s="14" t="s">
        <v>681</v>
      </c>
      <c r="C126" s="14" t="s">
        <v>478</v>
      </c>
      <c r="D126" s="14" t="s">
        <v>479</v>
      </c>
      <c r="E126" s="14">
        <v>8.0</v>
      </c>
      <c r="F126" s="17">
        <v>11120.0</v>
      </c>
      <c r="G126" s="17">
        <v>1340.0</v>
      </c>
      <c r="H126" s="17">
        <v>0.0</v>
      </c>
      <c r="I126" s="17">
        <v>0.0</v>
      </c>
      <c r="J126" s="17">
        <f t="shared" si="1"/>
        <v>12460</v>
      </c>
      <c r="K126" s="17">
        <v>0.0</v>
      </c>
    </row>
    <row r="127" ht="15.75" customHeight="1">
      <c r="A127" s="14">
        <v>85.0</v>
      </c>
      <c r="B127" s="14" t="s">
        <v>682</v>
      </c>
      <c r="C127" s="14" t="s">
        <v>478</v>
      </c>
      <c r="D127" s="14" t="s">
        <v>479</v>
      </c>
      <c r="E127" s="14">
        <v>8.0</v>
      </c>
      <c r="F127" s="17">
        <v>12093.0</v>
      </c>
      <c r="G127" s="17">
        <v>0.0</v>
      </c>
      <c r="H127" s="17">
        <v>0.0</v>
      </c>
      <c r="I127" s="17">
        <v>0.0</v>
      </c>
      <c r="J127" s="17">
        <f t="shared" si="1"/>
        <v>12093</v>
      </c>
      <c r="K127" s="17">
        <v>0.0</v>
      </c>
    </row>
    <row r="128" ht="15.75" customHeight="1">
      <c r="A128" s="14">
        <v>15.0</v>
      </c>
      <c r="B128" s="14" t="s">
        <v>683</v>
      </c>
      <c r="C128" s="14" t="s">
        <v>478</v>
      </c>
      <c r="D128" s="14" t="s">
        <v>479</v>
      </c>
      <c r="E128" s="14">
        <v>4.0</v>
      </c>
      <c r="F128" s="17">
        <v>6000.0</v>
      </c>
      <c r="G128" s="17">
        <v>6000.0</v>
      </c>
      <c r="H128" s="17">
        <v>0.0</v>
      </c>
      <c r="I128" s="17">
        <v>0.0</v>
      </c>
      <c r="J128" s="17">
        <f t="shared" si="1"/>
        <v>12000</v>
      </c>
      <c r="K128" s="17">
        <v>0.0</v>
      </c>
    </row>
    <row r="129" ht="15.75" customHeight="1">
      <c r="A129" s="14">
        <v>70.0</v>
      </c>
      <c r="B129" s="14" t="s">
        <v>684</v>
      </c>
      <c r="C129" s="14" t="s">
        <v>478</v>
      </c>
      <c r="D129" s="14" t="s">
        <v>479</v>
      </c>
      <c r="E129" s="14">
        <v>8.0</v>
      </c>
      <c r="F129" s="17">
        <v>12000.0</v>
      </c>
      <c r="G129" s="17">
        <v>0.0</v>
      </c>
      <c r="H129" s="17">
        <v>0.0</v>
      </c>
      <c r="I129" s="17">
        <v>0.0</v>
      </c>
      <c r="J129" s="17">
        <f t="shared" si="1"/>
        <v>12000</v>
      </c>
      <c r="K129" s="17">
        <v>0.0</v>
      </c>
    </row>
    <row r="130" ht="15.75" customHeight="1">
      <c r="A130" s="14">
        <v>240.0</v>
      </c>
      <c r="B130" s="14" t="s">
        <v>685</v>
      </c>
      <c r="C130" s="14" t="s">
        <v>478</v>
      </c>
      <c r="D130" s="14" t="s">
        <v>479</v>
      </c>
      <c r="E130" s="14">
        <v>1.0</v>
      </c>
      <c r="F130" s="17">
        <v>5999.0</v>
      </c>
      <c r="G130" s="17">
        <v>5999.0</v>
      </c>
      <c r="H130" s="17">
        <v>0.0</v>
      </c>
      <c r="I130" s="17">
        <v>0.0</v>
      </c>
      <c r="J130" s="17">
        <f t="shared" si="1"/>
        <v>11998</v>
      </c>
      <c r="K130" s="17">
        <v>0.0</v>
      </c>
    </row>
    <row r="131" ht="15.75" customHeight="1">
      <c r="A131" s="14">
        <v>2.0</v>
      </c>
      <c r="B131" s="14" t="s">
        <v>686</v>
      </c>
      <c r="C131" s="14" t="s">
        <v>478</v>
      </c>
      <c r="D131" s="14" t="s">
        <v>479</v>
      </c>
      <c r="E131" s="14">
        <v>5.0</v>
      </c>
      <c r="F131" s="17">
        <v>11895.0</v>
      </c>
      <c r="G131" s="17">
        <v>0.0</v>
      </c>
      <c r="H131" s="17">
        <v>0.0</v>
      </c>
      <c r="I131" s="17">
        <v>0.0</v>
      </c>
      <c r="J131" s="17">
        <f t="shared" si="1"/>
        <v>11895</v>
      </c>
      <c r="K131" s="17">
        <v>0.0</v>
      </c>
    </row>
    <row r="132" ht="15.75" customHeight="1">
      <c r="A132" s="14">
        <v>255.0</v>
      </c>
      <c r="B132" s="14" t="s">
        <v>446</v>
      </c>
      <c r="C132" s="14" t="s">
        <v>478</v>
      </c>
      <c r="D132" s="14" t="s">
        <v>479</v>
      </c>
      <c r="E132" s="14">
        <v>9.0</v>
      </c>
      <c r="F132" s="17">
        <v>11343.0</v>
      </c>
      <c r="G132" s="17">
        <v>0.0</v>
      </c>
      <c r="H132" s="17">
        <v>0.0</v>
      </c>
      <c r="I132" s="17">
        <v>0.0</v>
      </c>
      <c r="J132" s="17">
        <f t="shared" si="1"/>
        <v>11343</v>
      </c>
      <c r="K132" s="17">
        <v>0.0</v>
      </c>
    </row>
    <row r="133" ht="15.75" customHeight="1">
      <c r="A133" s="14">
        <v>81.0</v>
      </c>
      <c r="B133" s="14" t="s">
        <v>507</v>
      </c>
      <c r="C133" s="14" t="s">
        <v>478</v>
      </c>
      <c r="D133" s="14" t="s">
        <v>479</v>
      </c>
      <c r="E133" s="14">
        <v>4.0</v>
      </c>
      <c r="F133" s="17">
        <v>10996.0</v>
      </c>
      <c r="G133" s="17">
        <v>0.0</v>
      </c>
      <c r="H133" s="17">
        <v>0.0</v>
      </c>
      <c r="I133" s="17">
        <v>0.0</v>
      </c>
      <c r="J133" s="17">
        <f t="shared" si="1"/>
        <v>10996</v>
      </c>
      <c r="K133" s="17">
        <v>0.0</v>
      </c>
    </row>
    <row r="134" ht="15.75" customHeight="1">
      <c r="A134" s="14">
        <v>10.0</v>
      </c>
      <c r="B134" s="14" t="s">
        <v>524</v>
      </c>
      <c r="C134" s="14" t="s">
        <v>478</v>
      </c>
      <c r="D134" s="14" t="s">
        <v>479</v>
      </c>
      <c r="E134" s="14">
        <v>4.0</v>
      </c>
      <c r="F134" s="17">
        <v>10387.0</v>
      </c>
      <c r="G134" s="17">
        <v>0.0</v>
      </c>
      <c r="H134" s="17">
        <v>0.0</v>
      </c>
      <c r="I134" s="17">
        <v>0.0</v>
      </c>
      <c r="J134" s="17">
        <f t="shared" si="1"/>
        <v>10387</v>
      </c>
      <c r="K134" s="17">
        <v>8097.3</v>
      </c>
    </row>
    <row r="135" ht="15.75" customHeight="1">
      <c r="A135" s="14">
        <v>217.0</v>
      </c>
      <c r="B135" s="14" t="s">
        <v>687</v>
      </c>
      <c r="C135" s="14" t="s">
        <v>478</v>
      </c>
      <c r="D135" s="14" t="s">
        <v>479</v>
      </c>
      <c r="E135" s="14">
        <v>4.0</v>
      </c>
      <c r="F135" s="17">
        <v>10098.0</v>
      </c>
      <c r="G135" s="17">
        <v>0.0</v>
      </c>
      <c r="H135" s="17">
        <v>0.0</v>
      </c>
      <c r="I135" s="17">
        <v>0.0</v>
      </c>
      <c r="J135" s="17">
        <f t="shared" si="1"/>
        <v>10098</v>
      </c>
      <c r="K135" s="17">
        <v>0.0</v>
      </c>
    </row>
    <row r="136" ht="15.75" customHeight="1">
      <c r="A136" s="14">
        <v>128.0</v>
      </c>
      <c r="B136" s="14" t="s">
        <v>688</v>
      </c>
      <c r="C136" s="14" t="s">
        <v>478</v>
      </c>
      <c r="D136" s="14" t="s">
        <v>479</v>
      </c>
      <c r="E136" s="14">
        <v>5.0</v>
      </c>
      <c r="F136" s="17">
        <v>9995.0</v>
      </c>
      <c r="G136" s="17">
        <v>0.0</v>
      </c>
      <c r="H136" s="17">
        <v>0.0</v>
      </c>
      <c r="I136" s="17">
        <v>0.0</v>
      </c>
      <c r="J136" s="17">
        <f t="shared" si="1"/>
        <v>9995</v>
      </c>
      <c r="K136" s="17">
        <v>0.0</v>
      </c>
    </row>
    <row r="137" ht="15.75" customHeight="1">
      <c r="A137" s="14">
        <v>193.0</v>
      </c>
      <c r="B137" s="14" t="s">
        <v>689</v>
      </c>
      <c r="C137" s="14" t="s">
        <v>478</v>
      </c>
      <c r="D137" s="14" t="s">
        <v>479</v>
      </c>
      <c r="E137" s="14">
        <v>5.0</v>
      </c>
      <c r="F137" s="17">
        <v>9995.0</v>
      </c>
      <c r="G137" s="17">
        <v>0.0</v>
      </c>
      <c r="H137" s="17">
        <v>0.0</v>
      </c>
      <c r="I137" s="17">
        <v>0.0</v>
      </c>
      <c r="J137" s="17">
        <f t="shared" si="1"/>
        <v>9995</v>
      </c>
      <c r="K137" s="17">
        <v>0.0</v>
      </c>
    </row>
    <row r="138" ht="15.75" customHeight="1">
      <c r="A138" s="14">
        <v>990.0</v>
      </c>
      <c r="B138" s="14" t="s">
        <v>690</v>
      </c>
      <c r="C138" s="14" t="s">
        <v>478</v>
      </c>
      <c r="D138" s="14" t="s">
        <v>479</v>
      </c>
      <c r="E138" s="14">
        <v>4.0</v>
      </c>
      <c r="F138" s="17">
        <v>6400.0</v>
      </c>
      <c r="G138" s="17">
        <v>320.0</v>
      </c>
      <c r="H138" s="17">
        <v>0.0</v>
      </c>
      <c r="I138" s="17">
        <v>3200.0</v>
      </c>
      <c r="J138" s="17">
        <f t="shared" si="1"/>
        <v>9920</v>
      </c>
      <c r="K138" s="17">
        <v>0.0</v>
      </c>
    </row>
    <row r="139" ht="15.75" customHeight="1">
      <c r="A139" s="14">
        <v>82.0</v>
      </c>
      <c r="B139" s="14" t="s">
        <v>691</v>
      </c>
      <c r="C139" s="14" t="s">
        <v>478</v>
      </c>
      <c r="D139" s="14" t="s">
        <v>479</v>
      </c>
      <c r="E139" s="14">
        <v>2.0</v>
      </c>
      <c r="F139" s="17">
        <v>9598.0</v>
      </c>
      <c r="G139" s="17">
        <v>0.0</v>
      </c>
      <c r="H139" s="17">
        <v>0.0</v>
      </c>
      <c r="I139" s="17">
        <v>0.0</v>
      </c>
      <c r="J139" s="17">
        <f t="shared" si="1"/>
        <v>9598</v>
      </c>
      <c r="K139" s="17">
        <v>0.0</v>
      </c>
    </row>
    <row r="140" ht="15.75" customHeight="1">
      <c r="A140" s="14">
        <v>145.0</v>
      </c>
      <c r="B140" s="14" t="s">
        <v>484</v>
      </c>
      <c r="C140" s="14" t="s">
        <v>478</v>
      </c>
      <c r="D140" s="14" t="s">
        <v>479</v>
      </c>
      <c r="E140" s="14">
        <v>8.0</v>
      </c>
      <c r="F140" s="17">
        <v>9592.0</v>
      </c>
      <c r="G140" s="17">
        <v>0.0</v>
      </c>
      <c r="H140" s="17">
        <v>0.0</v>
      </c>
      <c r="I140" s="17">
        <v>0.0</v>
      </c>
      <c r="J140" s="17">
        <f t="shared" si="1"/>
        <v>9592</v>
      </c>
      <c r="K140" s="17">
        <v>39.97</v>
      </c>
    </row>
    <row r="141" ht="15.75" customHeight="1">
      <c r="A141" s="14">
        <v>241.0</v>
      </c>
      <c r="B141" s="14" t="s">
        <v>692</v>
      </c>
      <c r="C141" s="14" t="s">
        <v>478</v>
      </c>
      <c r="D141" s="14" t="s">
        <v>479</v>
      </c>
      <c r="E141" s="14">
        <v>4.0</v>
      </c>
      <c r="F141" s="17">
        <v>4949.0</v>
      </c>
      <c r="G141" s="17">
        <v>1649.0</v>
      </c>
      <c r="H141" s="17">
        <v>0.0</v>
      </c>
      <c r="I141" s="17">
        <v>1649.0</v>
      </c>
      <c r="J141" s="17">
        <f t="shared" si="1"/>
        <v>8247</v>
      </c>
      <c r="K141" s="17">
        <v>0.0</v>
      </c>
    </row>
    <row r="142" ht="15.75" customHeight="1">
      <c r="A142" s="14">
        <v>233.0</v>
      </c>
      <c r="B142" s="14" t="s">
        <v>693</v>
      </c>
      <c r="C142" s="14" t="s">
        <v>478</v>
      </c>
      <c r="D142" s="14" t="s">
        <v>479</v>
      </c>
      <c r="E142" s="14">
        <v>7.0</v>
      </c>
      <c r="F142" s="17">
        <v>7894.0</v>
      </c>
      <c r="G142" s="17">
        <v>0.0</v>
      </c>
      <c r="H142" s="17">
        <v>0.0</v>
      </c>
      <c r="I142" s="17">
        <v>0.0</v>
      </c>
      <c r="J142" s="17">
        <f t="shared" si="1"/>
        <v>7894</v>
      </c>
      <c r="K142" s="17">
        <v>0.0</v>
      </c>
    </row>
    <row r="143" ht="15.75" customHeight="1">
      <c r="A143" s="14">
        <v>87.0</v>
      </c>
      <c r="B143" s="14" t="s">
        <v>694</v>
      </c>
      <c r="C143" s="14" t="s">
        <v>478</v>
      </c>
      <c r="D143" s="14" t="s">
        <v>479</v>
      </c>
      <c r="E143" s="14">
        <v>7.0</v>
      </c>
      <c r="F143" s="17">
        <v>7893.0</v>
      </c>
      <c r="G143" s="17">
        <v>0.0</v>
      </c>
      <c r="H143" s="17">
        <v>0.0</v>
      </c>
      <c r="I143" s="17">
        <v>0.0</v>
      </c>
      <c r="J143" s="17">
        <f t="shared" si="1"/>
        <v>7893</v>
      </c>
      <c r="K143" s="17">
        <v>0.0</v>
      </c>
    </row>
    <row r="144" ht="15.75" customHeight="1">
      <c r="A144" s="14">
        <v>14.0</v>
      </c>
      <c r="B144" s="14" t="s">
        <v>555</v>
      </c>
      <c r="C144" s="14" t="s">
        <v>478</v>
      </c>
      <c r="D144" s="14" t="s">
        <v>479</v>
      </c>
      <c r="E144" s="14">
        <v>4.0</v>
      </c>
      <c r="F144" s="17">
        <v>7678.0</v>
      </c>
      <c r="G144" s="17">
        <v>0.0</v>
      </c>
      <c r="H144" s="17">
        <v>0.0</v>
      </c>
      <c r="I144" s="17">
        <v>0.0</v>
      </c>
      <c r="J144" s="17">
        <f t="shared" si="1"/>
        <v>7678</v>
      </c>
      <c r="K144" s="17">
        <v>1393.0</v>
      </c>
    </row>
    <row r="145" ht="15.75" customHeight="1">
      <c r="A145" s="14">
        <v>232.0</v>
      </c>
      <c r="B145" s="14" t="s">
        <v>537</v>
      </c>
      <c r="C145" s="14" t="s">
        <v>478</v>
      </c>
      <c r="D145" s="14" t="s">
        <v>479</v>
      </c>
      <c r="E145" s="14">
        <v>6.0</v>
      </c>
      <c r="F145" s="17">
        <v>7249.0</v>
      </c>
      <c r="G145" s="17">
        <v>306.68</v>
      </c>
      <c r="H145" s="17">
        <v>0.0</v>
      </c>
      <c r="I145" s="17">
        <v>0.0</v>
      </c>
      <c r="J145" s="17">
        <f t="shared" si="1"/>
        <v>7555.68</v>
      </c>
      <c r="K145" s="17">
        <v>3750.0</v>
      </c>
    </row>
    <row r="146" ht="15.75" customHeight="1">
      <c r="A146" s="14">
        <v>974.0</v>
      </c>
      <c r="B146" s="14" t="s">
        <v>695</v>
      </c>
      <c r="C146" s="14" t="s">
        <v>478</v>
      </c>
      <c r="D146" s="14" t="s">
        <v>479</v>
      </c>
      <c r="E146" s="14">
        <v>2.0</v>
      </c>
      <c r="F146" s="17">
        <v>4598.0</v>
      </c>
      <c r="G146" s="17">
        <v>86.63</v>
      </c>
      <c r="H146" s="17">
        <v>0.0</v>
      </c>
      <c r="I146" s="17">
        <v>2599.0</v>
      </c>
      <c r="J146" s="17">
        <f t="shared" si="1"/>
        <v>7283.63</v>
      </c>
      <c r="K146" s="17">
        <v>0.0</v>
      </c>
    </row>
    <row r="147" ht="15.75" customHeight="1">
      <c r="A147" s="14">
        <v>80.0</v>
      </c>
      <c r="B147" s="14" t="s">
        <v>696</v>
      </c>
      <c r="C147" s="14" t="s">
        <v>478</v>
      </c>
      <c r="D147" s="14" t="s">
        <v>479</v>
      </c>
      <c r="E147" s="14">
        <v>2.0</v>
      </c>
      <c r="F147" s="17">
        <v>6949.0</v>
      </c>
      <c r="G147" s="17">
        <v>0.0</v>
      </c>
      <c r="H147" s="17">
        <v>0.0</v>
      </c>
      <c r="I147" s="17">
        <v>0.0</v>
      </c>
      <c r="J147" s="17">
        <f t="shared" si="1"/>
        <v>6949</v>
      </c>
      <c r="K147" s="17">
        <v>0.0</v>
      </c>
    </row>
    <row r="148" ht="15.75" customHeight="1">
      <c r="A148" s="14">
        <v>244.0</v>
      </c>
      <c r="B148" s="14" t="s">
        <v>697</v>
      </c>
      <c r="C148" s="14" t="s">
        <v>478</v>
      </c>
      <c r="D148" s="14" t="s">
        <v>479</v>
      </c>
      <c r="E148" s="14">
        <v>4.0</v>
      </c>
      <c r="F148" s="17">
        <v>6596.0</v>
      </c>
      <c r="G148" s="17">
        <v>239.87</v>
      </c>
      <c r="H148" s="17">
        <v>0.0</v>
      </c>
      <c r="I148" s="17">
        <v>0.0</v>
      </c>
      <c r="J148" s="17">
        <f t="shared" si="1"/>
        <v>6835.87</v>
      </c>
      <c r="K148" s="17">
        <v>0.0</v>
      </c>
    </row>
    <row r="149" ht="15.75" customHeight="1">
      <c r="A149" s="14">
        <v>258.0</v>
      </c>
      <c r="B149" s="14" t="s">
        <v>698</v>
      </c>
      <c r="C149" s="14" t="s">
        <v>478</v>
      </c>
      <c r="D149" s="14" t="s">
        <v>479</v>
      </c>
      <c r="E149" s="14">
        <v>5.0</v>
      </c>
      <c r="F149" s="17">
        <v>6745.0</v>
      </c>
      <c r="G149" s="17">
        <v>0.0</v>
      </c>
      <c r="H149" s="17">
        <v>0.0</v>
      </c>
      <c r="I149" s="17">
        <v>0.0</v>
      </c>
      <c r="J149" s="17">
        <f t="shared" si="1"/>
        <v>6745</v>
      </c>
      <c r="K149" s="17">
        <v>0.0</v>
      </c>
    </row>
    <row r="150" ht="15.75" customHeight="1">
      <c r="A150" s="14">
        <v>975.0</v>
      </c>
      <c r="B150" s="14" t="s">
        <v>699</v>
      </c>
      <c r="C150" s="14" t="s">
        <v>478</v>
      </c>
      <c r="D150" s="14" t="s">
        <v>479</v>
      </c>
      <c r="E150" s="14">
        <v>4.0</v>
      </c>
      <c r="F150" s="17">
        <v>6596.0</v>
      </c>
      <c r="G150" s="17">
        <v>0.0</v>
      </c>
      <c r="H150" s="17">
        <v>0.0</v>
      </c>
      <c r="I150" s="17">
        <v>0.0</v>
      </c>
      <c r="J150" s="17">
        <f t="shared" si="1"/>
        <v>6596</v>
      </c>
      <c r="K150" s="17">
        <v>0.0</v>
      </c>
    </row>
    <row r="151" ht="15.75" customHeight="1">
      <c r="A151" s="14">
        <v>979.0</v>
      </c>
      <c r="B151" s="14" t="s">
        <v>700</v>
      </c>
      <c r="C151" s="14" t="s">
        <v>478</v>
      </c>
      <c r="D151" s="14" t="s">
        <v>479</v>
      </c>
      <c r="E151" s="14">
        <v>4.0</v>
      </c>
      <c r="F151" s="17">
        <v>6596.0</v>
      </c>
      <c r="G151" s="17">
        <v>0.0</v>
      </c>
      <c r="H151" s="17">
        <v>0.0</v>
      </c>
      <c r="I151" s="17">
        <v>0.0</v>
      </c>
      <c r="J151" s="17">
        <f t="shared" si="1"/>
        <v>6596</v>
      </c>
      <c r="K151" s="17">
        <v>0.0</v>
      </c>
    </row>
    <row r="152" ht="15.75" customHeight="1">
      <c r="A152" s="14">
        <v>44.0</v>
      </c>
      <c r="B152" s="14" t="s">
        <v>701</v>
      </c>
      <c r="C152" s="14" t="s">
        <v>478</v>
      </c>
      <c r="D152" s="14" t="s">
        <v>479</v>
      </c>
      <c r="E152" s="14">
        <v>4.0</v>
      </c>
      <c r="F152" s="17">
        <v>6550.0</v>
      </c>
      <c r="G152" s="17">
        <v>0.0</v>
      </c>
      <c r="H152" s="17">
        <v>0.0</v>
      </c>
      <c r="I152" s="17">
        <v>0.0</v>
      </c>
      <c r="J152" s="17">
        <f t="shared" si="1"/>
        <v>6550</v>
      </c>
      <c r="K152" s="17">
        <v>0.0</v>
      </c>
    </row>
    <row r="153" ht="15.75" customHeight="1">
      <c r="A153" s="14">
        <v>34.0</v>
      </c>
      <c r="B153" s="14" t="s">
        <v>702</v>
      </c>
      <c r="C153" s="14" t="s">
        <v>478</v>
      </c>
      <c r="D153" s="14" t="s">
        <v>479</v>
      </c>
      <c r="E153" s="14">
        <v>4.0</v>
      </c>
      <c r="F153" s="17">
        <v>6396.0</v>
      </c>
      <c r="G153" s="17">
        <v>0.0</v>
      </c>
      <c r="H153" s="17">
        <v>0.0</v>
      </c>
      <c r="I153" s="17">
        <v>0.0</v>
      </c>
      <c r="J153" s="17">
        <f t="shared" si="1"/>
        <v>6396</v>
      </c>
      <c r="K153" s="17">
        <v>0.0</v>
      </c>
    </row>
    <row r="154" ht="15.75" customHeight="1">
      <c r="A154" s="14">
        <v>205.0</v>
      </c>
      <c r="B154" s="14" t="s">
        <v>703</v>
      </c>
      <c r="C154" s="14" t="s">
        <v>478</v>
      </c>
      <c r="D154" s="14" t="s">
        <v>479</v>
      </c>
      <c r="E154" s="14">
        <v>1.0</v>
      </c>
      <c r="F154" s="17">
        <v>6000.0</v>
      </c>
      <c r="G154" s="17">
        <v>0.0</v>
      </c>
      <c r="H154" s="17">
        <v>0.0</v>
      </c>
      <c r="I154" s="17">
        <v>0.0</v>
      </c>
      <c r="J154" s="17">
        <f t="shared" si="1"/>
        <v>6000</v>
      </c>
      <c r="K154" s="17">
        <v>0.0</v>
      </c>
    </row>
    <row r="155" ht="15.75" customHeight="1">
      <c r="A155" s="14">
        <v>167.0</v>
      </c>
      <c r="B155" s="14" t="s">
        <v>704</v>
      </c>
      <c r="C155" s="14" t="s">
        <v>478</v>
      </c>
      <c r="D155" s="14" t="s">
        <v>479</v>
      </c>
      <c r="E155" s="14">
        <v>1.0</v>
      </c>
      <c r="F155" s="17">
        <v>5999.0</v>
      </c>
      <c r="G155" s="17">
        <v>0.0</v>
      </c>
      <c r="H155" s="17">
        <v>0.0</v>
      </c>
      <c r="I155" s="17">
        <v>0.0</v>
      </c>
      <c r="J155" s="17">
        <f t="shared" si="1"/>
        <v>5999</v>
      </c>
      <c r="K155" s="17">
        <v>0.0</v>
      </c>
    </row>
    <row r="156" ht="15.75" customHeight="1">
      <c r="A156" s="14">
        <v>4.0</v>
      </c>
      <c r="B156" s="14" t="s">
        <v>705</v>
      </c>
      <c r="C156" s="14" t="s">
        <v>478</v>
      </c>
      <c r="D156" s="14" t="s">
        <v>479</v>
      </c>
      <c r="E156" s="14">
        <v>1.0</v>
      </c>
      <c r="F156" s="17">
        <v>5990.0</v>
      </c>
      <c r="G156" s="17">
        <v>0.0</v>
      </c>
      <c r="H156" s="17">
        <v>0.0</v>
      </c>
      <c r="I156" s="17">
        <v>0.0</v>
      </c>
      <c r="J156" s="17">
        <f t="shared" si="1"/>
        <v>5990</v>
      </c>
      <c r="K156" s="17">
        <v>0.0</v>
      </c>
    </row>
    <row r="157" ht="15.75" customHeight="1">
      <c r="A157" s="14">
        <v>125.0</v>
      </c>
      <c r="B157" s="14" t="s">
        <v>706</v>
      </c>
      <c r="C157" s="14" t="s">
        <v>478</v>
      </c>
      <c r="D157" s="14" t="s">
        <v>479</v>
      </c>
      <c r="E157" s="14">
        <v>4.0</v>
      </c>
      <c r="F157" s="17">
        <v>5800.0</v>
      </c>
      <c r="G157" s="17">
        <v>0.0</v>
      </c>
      <c r="H157" s="17">
        <v>0.0</v>
      </c>
      <c r="I157" s="17">
        <v>0.0</v>
      </c>
      <c r="J157" s="17">
        <f t="shared" si="1"/>
        <v>5800</v>
      </c>
      <c r="K157" s="17">
        <v>0.0</v>
      </c>
    </row>
    <row r="158" ht="15.75" customHeight="1">
      <c r="A158" s="14">
        <v>182.0</v>
      </c>
      <c r="B158" s="14" t="s">
        <v>707</v>
      </c>
      <c r="C158" s="14" t="s">
        <v>478</v>
      </c>
      <c r="D158" s="14" t="s">
        <v>479</v>
      </c>
      <c r="E158" s="14">
        <v>3.0</v>
      </c>
      <c r="F158" s="17">
        <v>5498.0</v>
      </c>
      <c r="G158" s="17">
        <v>0.0</v>
      </c>
      <c r="H158" s="17">
        <v>0.0</v>
      </c>
      <c r="I158" s="17">
        <v>0.0</v>
      </c>
      <c r="J158" s="17">
        <f t="shared" si="1"/>
        <v>5498</v>
      </c>
      <c r="K158" s="17">
        <v>0.0</v>
      </c>
    </row>
    <row r="159" ht="15.75" customHeight="1">
      <c r="A159" s="14">
        <v>981.0</v>
      </c>
      <c r="B159" s="14" t="s">
        <v>708</v>
      </c>
      <c r="C159" s="14" t="s">
        <v>478</v>
      </c>
      <c r="D159" s="14" t="s">
        <v>479</v>
      </c>
      <c r="E159" s="14">
        <v>3.0</v>
      </c>
      <c r="F159" s="17">
        <v>5488.0</v>
      </c>
      <c r="G159" s="17">
        <v>0.0</v>
      </c>
      <c r="H159" s="17">
        <v>0.0</v>
      </c>
      <c r="I159" s="17">
        <v>0.0</v>
      </c>
      <c r="J159" s="17">
        <f t="shared" si="1"/>
        <v>5488</v>
      </c>
      <c r="K159" s="17">
        <v>0.0</v>
      </c>
    </row>
    <row r="160" ht="15.75" customHeight="1">
      <c r="A160" s="14">
        <v>148.0</v>
      </c>
      <c r="B160" s="14" t="s">
        <v>709</v>
      </c>
      <c r="C160" s="14" t="s">
        <v>478</v>
      </c>
      <c r="D160" s="14" t="s">
        <v>479</v>
      </c>
      <c r="E160" s="14">
        <v>2.0</v>
      </c>
      <c r="F160" s="17">
        <v>2700.0</v>
      </c>
      <c r="G160" s="17">
        <v>2700.0</v>
      </c>
      <c r="H160" s="17">
        <v>0.0</v>
      </c>
      <c r="I160" s="17">
        <v>0.0</v>
      </c>
      <c r="J160" s="17">
        <f t="shared" si="1"/>
        <v>5400</v>
      </c>
      <c r="K160" s="17">
        <v>0.0</v>
      </c>
    </row>
    <row r="161" ht="15.75" customHeight="1">
      <c r="A161" s="14">
        <v>968.0</v>
      </c>
      <c r="B161" s="14" t="s">
        <v>710</v>
      </c>
      <c r="C161" s="14" t="s">
        <v>478</v>
      </c>
      <c r="D161" s="14" t="s">
        <v>479</v>
      </c>
      <c r="E161" s="14">
        <v>1.0</v>
      </c>
      <c r="F161" s="17">
        <v>5399.0</v>
      </c>
      <c r="G161" s="17">
        <v>0.0</v>
      </c>
      <c r="H161" s="17">
        <v>0.0</v>
      </c>
      <c r="I161" s="17">
        <v>0.0</v>
      </c>
      <c r="J161" s="17">
        <f t="shared" si="1"/>
        <v>5399</v>
      </c>
      <c r="K161" s="17">
        <v>0.0</v>
      </c>
    </row>
    <row r="162" ht="15.75" customHeight="1">
      <c r="A162" s="14">
        <v>21.0</v>
      </c>
      <c r="B162" s="14" t="s">
        <v>711</v>
      </c>
      <c r="C162" s="14" t="s">
        <v>478</v>
      </c>
      <c r="D162" s="14" t="s">
        <v>479</v>
      </c>
      <c r="E162" s="14">
        <v>1.0</v>
      </c>
      <c r="F162" s="17">
        <v>5299.0</v>
      </c>
      <c r="G162" s="17">
        <v>0.0</v>
      </c>
      <c r="H162" s="17">
        <v>0.0</v>
      </c>
      <c r="I162" s="17">
        <v>0.0</v>
      </c>
      <c r="J162" s="17">
        <f t="shared" si="1"/>
        <v>5299</v>
      </c>
      <c r="K162" s="17">
        <v>0.0</v>
      </c>
    </row>
    <row r="163" ht="15.75" customHeight="1">
      <c r="A163" s="14">
        <v>229.0</v>
      </c>
      <c r="B163" s="14" t="s">
        <v>712</v>
      </c>
      <c r="C163" s="14" t="s">
        <v>478</v>
      </c>
      <c r="D163" s="14" t="s">
        <v>479</v>
      </c>
      <c r="E163" s="14">
        <v>2.0</v>
      </c>
      <c r="F163" s="17">
        <v>5198.0</v>
      </c>
      <c r="G163" s="17">
        <v>0.0</v>
      </c>
      <c r="H163" s="17">
        <v>0.0</v>
      </c>
      <c r="I163" s="17">
        <v>0.0</v>
      </c>
      <c r="J163" s="17">
        <f t="shared" si="1"/>
        <v>5198</v>
      </c>
      <c r="K163" s="17">
        <v>0.0</v>
      </c>
    </row>
    <row r="164" ht="15.75" customHeight="1">
      <c r="A164" s="14">
        <v>57.0</v>
      </c>
      <c r="B164" s="14" t="s">
        <v>713</v>
      </c>
      <c r="C164" s="14" t="s">
        <v>478</v>
      </c>
      <c r="D164" s="14" t="s">
        <v>479</v>
      </c>
      <c r="E164" s="14">
        <v>1.0</v>
      </c>
      <c r="F164" s="17">
        <v>4999.0</v>
      </c>
      <c r="G164" s="17">
        <v>0.0</v>
      </c>
      <c r="H164" s="17">
        <v>0.0</v>
      </c>
      <c r="I164" s="17">
        <v>0.0</v>
      </c>
      <c r="J164" s="17">
        <f t="shared" si="1"/>
        <v>4999</v>
      </c>
      <c r="K164" s="17">
        <v>0.0</v>
      </c>
    </row>
    <row r="165" ht="15.75" customHeight="1">
      <c r="A165" s="14">
        <v>84.0</v>
      </c>
      <c r="B165" s="14" t="s">
        <v>226</v>
      </c>
      <c r="C165" s="14" t="s">
        <v>478</v>
      </c>
      <c r="D165" s="14" t="s">
        <v>479</v>
      </c>
      <c r="E165" s="14">
        <v>5.0</v>
      </c>
      <c r="F165" s="17">
        <v>4995.0</v>
      </c>
      <c r="G165" s="17">
        <v>0.0</v>
      </c>
      <c r="H165" s="17">
        <v>0.0</v>
      </c>
      <c r="I165" s="17">
        <v>0.0</v>
      </c>
      <c r="J165" s="17">
        <f t="shared" si="1"/>
        <v>4995</v>
      </c>
      <c r="K165" s="17">
        <v>699.3</v>
      </c>
    </row>
    <row r="166" ht="15.75" customHeight="1">
      <c r="A166" s="14">
        <v>982.0</v>
      </c>
      <c r="B166" s="14" t="s">
        <v>714</v>
      </c>
      <c r="C166" s="14" t="s">
        <v>478</v>
      </c>
      <c r="D166" s="14" t="s">
        <v>479</v>
      </c>
      <c r="E166" s="14">
        <v>1.0</v>
      </c>
      <c r="F166" s="17">
        <v>1699.0</v>
      </c>
      <c r="G166" s="17">
        <v>1529.1</v>
      </c>
      <c r="H166" s="17">
        <v>0.0</v>
      </c>
      <c r="I166" s="17">
        <v>1699.0</v>
      </c>
      <c r="J166" s="17">
        <f t="shared" si="1"/>
        <v>4927.1</v>
      </c>
      <c r="K166" s="17">
        <v>0.0</v>
      </c>
    </row>
    <row r="167" ht="15.75" customHeight="1">
      <c r="A167" s="14">
        <v>913.0</v>
      </c>
      <c r="B167" s="14" t="s">
        <v>715</v>
      </c>
      <c r="C167" s="14" t="s">
        <v>478</v>
      </c>
      <c r="D167" s="14" t="s">
        <v>479</v>
      </c>
      <c r="E167" s="14">
        <v>2.0</v>
      </c>
      <c r="F167" s="17">
        <v>4798.0</v>
      </c>
      <c r="G167" s="17">
        <v>0.0</v>
      </c>
      <c r="H167" s="17">
        <v>0.0</v>
      </c>
      <c r="I167" s="17">
        <v>0.0</v>
      </c>
      <c r="J167" s="17">
        <f t="shared" si="1"/>
        <v>4798</v>
      </c>
      <c r="K167" s="17">
        <v>0.0</v>
      </c>
    </row>
    <row r="168" ht="15.75" customHeight="1">
      <c r="A168" s="14">
        <v>978.0</v>
      </c>
      <c r="B168" s="14" t="s">
        <v>587</v>
      </c>
      <c r="C168" s="14" t="s">
        <v>478</v>
      </c>
      <c r="D168" s="14" t="s">
        <v>479</v>
      </c>
      <c r="E168" s="14">
        <v>2.0</v>
      </c>
      <c r="F168" s="17">
        <v>3998.0</v>
      </c>
      <c r="G168" s="17">
        <v>799.6</v>
      </c>
      <c r="H168" s="17">
        <v>0.0</v>
      </c>
      <c r="I168" s="17">
        <v>0.0</v>
      </c>
      <c r="J168" s="17">
        <f t="shared" si="1"/>
        <v>4797.6</v>
      </c>
      <c r="K168" s="17">
        <v>399.8</v>
      </c>
    </row>
    <row r="169" ht="15.75" customHeight="1">
      <c r="A169" s="14">
        <v>222.0</v>
      </c>
      <c r="B169" s="14" t="s">
        <v>716</v>
      </c>
      <c r="C169" s="14" t="s">
        <v>478</v>
      </c>
      <c r="D169" s="14" t="s">
        <v>479</v>
      </c>
      <c r="E169" s="14">
        <v>3.0</v>
      </c>
      <c r="F169" s="17">
        <v>4797.0</v>
      </c>
      <c r="G169" s="17">
        <v>0.0</v>
      </c>
      <c r="H169" s="17">
        <v>0.0</v>
      </c>
      <c r="I169" s="17">
        <v>0.0</v>
      </c>
      <c r="J169" s="17">
        <f t="shared" si="1"/>
        <v>4797</v>
      </c>
      <c r="K169" s="17">
        <v>0.0</v>
      </c>
    </row>
    <row r="170" ht="15.75" customHeight="1">
      <c r="A170" s="14">
        <v>75.0</v>
      </c>
      <c r="B170" s="14" t="s">
        <v>717</v>
      </c>
      <c r="C170" s="14" t="s">
        <v>478</v>
      </c>
      <c r="D170" s="14" t="s">
        <v>479</v>
      </c>
      <c r="E170" s="14">
        <v>2.0</v>
      </c>
      <c r="F170" s="17">
        <v>4789.0</v>
      </c>
      <c r="G170" s="17">
        <v>0.0</v>
      </c>
      <c r="H170" s="17">
        <v>0.0</v>
      </c>
      <c r="I170" s="17">
        <v>0.0</v>
      </c>
      <c r="J170" s="17">
        <f t="shared" si="1"/>
        <v>4789</v>
      </c>
      <c r="K170" s="17">
        <v>0.0</v>
      </c>
    </row>
    <row r="171" ht="15.75" customHeight="1">
      <c r="A171" s="14">
        <v>49.0</v>
      </c>
      <c r="B171" s="14" t="s">
        <v>718</v>
      </c>
      <c r="C171" s="14" t="s">
        <v>478</v>
      </c>
      <c r="D171" s="14" t="s">
        <v>479</v>
      </c>
      <c r="E171" s="14">
        <v>1.0</v>
      </c>
      <c r="F171" s="17">
        <v>4299.0</v>
      </c>
      <c r="G171" s="17">
        <v>0.0</v>
      </c>
      <c r="H171" s="17">
        <v>0.0</v>
      </c>
      <c r="I171" s="17">
        <v>0.0</v>
      </c>
      <c r="J171" s="17">
        <f t="shared" si="1"/>
        <v>4299</v>
      </c>
      <c r="K171" s="17">
        <v>0.0</v>
      </c>
    </row>
    <row r="172" ht="15.75" customHeight="1">
      <c r="A172" s="14">
        <v>121.0</v>
      </c>
      <c r="B172" s="14" t="s">
        <v>719</v>
      </c>
      <c r="C172" s="14" t="s">
        <v>478</v>
      </c>
      <c r="D172" s="14" t="s">
        <v>479</v>
      </c>
      <c r="E172" s="14">
        <v>2.0</v>
      </c>
      <c r="F172" s="17">
        <v>3840.0</v>
      </c>
      <c r="G172" s="17">
        <v>0.0</v>
      </c>
      <c r="H172" s="17">
        <v>0.0</v>
      </c>
      <c r="I172" s="17">
        <v>0.0</v>
      </c>
      <c r="J172" s="17">
        <f t="shared" si="1"/>
        <v>3840</v>
      </c>
      <c r="K172" s="17">
        <v>0.0</v>
      </c>
    </row>
    <row r="173" ht="15.75" customHeight="1">
      <c r="A173" s="14">
        <v>991.0</v>
      </c>
      <c r="B173" s="14" t="s">
        <v>496</v>
      </c>
      <c r="C173" s="14" t="s">
        <v>478</v>
      </c>
      <c r="D173" s="14" t="s">
        <v>479</v>
      </c>
      <c r="E173" s="14">
        <v>1.0</v>
      </c>
      <c r="F173" s="17">
        <v>3699.0</v>
      </c>
      <c r="G173" s="17">
        <v>0.0</v>
      </c>
      <c r="H173" s="17">
        <v>0.0</v>
      </c>
      <c r="I173" s="17">
        <v>0.0</v>
      </c>
      <c r="J173" s="17">
        <f t="shared" si="1"/>
        <v>3699</v>
      </c>
      <c r="K173" s="17">
        <v>0.0</v>
      </c>
    </row>
    <row r="174" ht="15.75" customHeight="1">
      <c r="A174" s="14">
        <v>274.0</v>
      </c>
      <c r="B174" s="14" t="s">
        <v>541</v>
      </c>
      <c r="C174" s="14" t="s">
        <v>478</v>
      </c>
      <c r="D174" s="14" t="s">
        <v>479</v>
      </c>
      <c r="E174" s="14">
        <v>1.0</v>
      </c>
      <c r="F174" s="17">
        <v>3500.0</v>
      </c>
      <c r="G174" s="17">
        <v>0.0</v>
      </c>
      <c r="H174" s="17">
        <v>0.0</v>
      </c>
      <c r="I174" s="17">
        <v>0.0</v>
      </c>
      <c r="J174" s="17">
        <f t="shared" si="1"/>
        <v>3500</v>
      </c>
      <c r="K174" s="17">
        <v>3150.0</v>
      </c>
    </row>
    <row r="175" ht="15.75" customHeight="1">
      <c r="A175" s="14">
        <v>60.0</v>
      </c>
      <c r="B175" s="14" t="s">
        <v>720</v>
      </c>
      <c r="C175" s="14" t="s">
        <v>478</v>
      </c>
      <c r="D175" s="14" t="s">
        <v>479</v>
      </c>
      <c r="E175" s="14">
        <v>2.0</v>
      </c>
      <c r="F175" s="17">
        <v>3498.0</v>
      </c>
      <c r="G175" s="17">
        <v>0.0</v>
      </c>
      <c r="H175" s="17">
        <v>0.0</v>
      </c>
      <c r="I175" s="17">
        <v>0.0</v>
      </c>
      <c r="J175" s="17">
        <f t="shared" si="1"/>
        <v>3498</v>
      </c>
      <c r="K175" s="17">
        <v>0.0</v>
      </c>
    </row>
    <row r="176" ht="15.75" customHeight="1">
      <c r="A176" s="14">
        <v>112.0</v>
      </c>
      <c r="B176" s="14" t="s">
        <v>721</v>
      </c>
      <c r="C176" s="14" t="s">
        <v>478</v>
      </c>
      <c r="D176" s="14" t="s">
        <v>479</v>
      </c>
      <c r="E176" s="14">
        <v>2.0</v>
      </c>
      <c r="F176" s="17">
        <v>3498.0</v>
      </c>
      <c r="G176" s="17">
        <v>0.0</v>
      </c>
      <c r="H176" s="17">
        <v>0.0</v>
      </c>
      <c r="I176" s="17">
        <v>0.0</v>
      </c>
      <c r="J176" s="17">
        <f t="shared" si="1"/>
        <v>3498</v>
      </c>
      <c r="K176" s="17">
        <v>0.0</v>
      </c>
    </row>
    <row r="177" ht="15.75" customHeight="1">
      <c r="A177" s="14">
        <v>140.0</v>
      </c>
      <c r="B177" s="14" t="s">
        <v>722</v>
      </c>
      <c r="C177" s="14" t="s">
        <v>478</v>
      </c>
      <c r="D177" s="14" t="s">
        <v>479</v>
      </c>
      <c r="E177" s="14">
        <v>3.0</v>
      </c>
      <c r="F177" s="17">
        <v>3298.0</v>
      </c>
      <c r="G177" s="17">
        <v>0.0</v>
      </c>
      <c r="H177" s="17">
        <v>0.0</v>
      </c>
      <c r="I177" s="17">
        <v>0.0</v>
      </c>
      <c r="J177" s="17">
        <f t="shared" si="1"/>
        <v>3298</v>
      </c>
      <c r="K177" s="17">
        <v>0.0</v>
      </c>
    </row>
    <row r="178" ht="15.75" customHeight="1">
      <c r="A178" s="14">
        <v>139.0</v>
      </c>
      <c r="B178" s="14" t="s">
        <v>723</v>
      </c>
      <c r="C178" s="14" t="s">
        <v>478</v>
      </c>
      <c r="D178" s="14" t="s">
        <v>479</v>
      </c>
      <c r="E178" s="14">
        <v>2.0</v>
      </c>
      <c r="F178" s="17">
        <v>3198.0</v>
      </c>
      <c r="G178" s="17">
        <v>0.0</v>
      </c>
      <c r="H178" s="17">
        <v>0.0</v>
      </c>
      <c r="I178" s="17">
        <v>0.0</v>
      </c>
      <c r="J178" s="17">
        <f t="shared" si="1"/>
        <v>3198</v>
      </c>
      <c r="K178" s="17">
        <v>0.0</v>
      </c>
    </row>
    <row r="179" ht="15.75" customHeight="1">
      <c r="A179" s="14">
        <v>197.0</v>
      </c>
      <c r="B179" s="14" t="s">
        <v>724</v>
      </c>
      <c r="C179" s="14" t="s">
        <v>478</v>
      </c>
      <c r="D179" s="14" t="s">
        <v>479</v>
      </c>
      <c r="E179" s="14">
        <v>1.0</v>
      </c>
      <c r="F179" s="17">
        <v>3099.0</v>
      </c>
      <c r="G179" s="17">
        <v>0.0</v>
      </c>
      <c r="H179" s="17">
        <v>0.0</v>
      </c>
      <c r="I179" s="17">
        <v>0.0</v>
      </c>
      <c r="J179" s="17">
        <f t="shared" si="1"/>
        <v>3099</v>
      </c>
      <c r="K179" s="17">
        <v>0.0</v>
      </c>
    </row>
    <row r="180" ht="15.75" customHeight="1">
      <c r="A180" s="14">
        <v>224.0</v>
      </c>
      <c r="B180" s="14" t="s">
        <v>407</v>
      </c>
      <c r="C180" s="14" t="s">
        <v>478</v>
      </c>
      <c r="D180" s="14" t="s">
        <v>479</v>
      </c>
      <c r="E180" s="14">
        <v>1.0</v>
      </c>
      <c r="F180" s="17">
        <v>2966.0</v>
      </c>
      <c r="G180" s="17">
        <v>0.0</v>
      </c>
      <c r="H180" s="17">
        <v>0.0</v>
      </c>
      <c r="I180" s="17">
        <v>0.0</v>
      </c>
      <c r="J180" s="17">
        <f t="shared" si="1"/>
        <v>2966</v>
      </c>
      <c r="K180" s="17">
        <v>0.0</v>
      </c>
    </row>
    <row r="181" ht="15.75" customHeight="1">
      <c r="A181" s="14">
        <v>200.0</v>
      </c>
      <c r="B181" s="14" t="s">
        <v>327</v>
      </c>
      <c r="C181" s="14" t="s">
        <v>478</v>
      </c>
      <c r="D181" s="14" t="s">
        <v>479</v>
      </c>
      <c r="E181" s="14">
        <v>1.0</v>
      </c>
      <c r="F181" s="17">
        <v>2899.0</v>
      </c>
      <c r="G181" s="17">
        <v>0.0</v>
      </c>
      <c r="H181" s="17">
        <v>0.0</v>
      </c>
      <c r="I181" s="17">
        <v>0.0</v>
      </c>
      <c r="J181" s="17">
        <f t="shared" si="1"/>
        <v>2899</v>
      </c>
      <c r="K181" s="17">
        <v>4445.14</v>
      </c>
    </row>
    <row r="182" ht="15.75" customHeight="1">
      <c r="A182" s="14">
        <v>157.0</v>
      </c>
      <c r="B182" s="14" t="s">
        <v>725</v>
      </c>
      <c r="C182" s="14" t="s">
        <v>478</v>
      </c>
      <c r="D182" s="14" t="s">
        <v>479</v>
      </c>
      <c r="E182" s="14">
        <v>1.0</v>
      </c>
      <c r="F182" s="17">
        <v>1356.0</v>
      </c>
      <c r="G182" s="17">
        <v>1356.0</v>
      </c>
      <c r="H182" s="17">
        <v>0.0</v>
      </c>
      <c r="I182" s="17">
        <v>0.0</v>
      </c>
      <c r="J182" s="17">
        <f t="shared" si="1"/>
        <v>2712</v>
      </c>
      <c r="K182" s="17">
        <v>0.0</v>
      </c>
    </row>
    <row r="183" ht="15.75" customHeight="1">
      <c r="A183" s="14">
        <v>960.0</v>
      </c>
      <c r="B183" s="14" t="s">
        <v>726</v>
      </c>
      <c r="C183" s="14" t="s">
        <v>478</v>
      </c>
      <c r="D183" s="14" t="s">
        <v>479</v>
      </c>
      <c r="E183" s="14">
        <v>1.0</v>
      </c>
      <c r="F183" s="17">
        <v>2500.0</v>
      </c>
      <c r="G183" s="17">
        <v>0.0</v>
      </c>
      <c r="H183" s="17">
        <v>0.0</v>
      </c>
      <c r="I183" s="17">
        <v>0.0</v>
      </c>
      <c r="J183" s="17">
        <f t="shared" si="1"/>
        <v>2500</v>
      </c>
      <c r="K183" s="17">
        <v>0.0</v>
      </c>
    </row>
    <row r="184" ht="15.75" customHeight="1">
      <c r="A184" s="14">
        <v>142.0</v>
      </c>
      <c r="B184" s="14" t="s">
        <v>727</v>
      </c>
      <c r="C184" s="14" t="s">
        <v>478</v>
      </c>
      <c r="D184" s="14" t="s">
        <v>479</v>
      </c>
      <c r="E184" s="14">
        <v>1.0</v>
      </c>
      <c r="F184" s="17">
        <v>2499.0</v>
      </c>
      <c r="G184" s="17">
        <v>0.0</v>
      </c>
      <c r="H184" s="17">
        <v>0.0</v>
      </c>
      <c r="I184" s="17">
        <v>0.0</v>
      </c>
      <c r="J184" s="17">
        <f t="shared" si="1"/>
        <v>2499</v>
      </c>
      <c r="K184" s="17">
        <v>0.0</v>
      </c>
    </row>
    <row r="185" ht="15.75" customHeight="1">
      <c r="A185" s="14">
        <v>247.0</v>
      </c>
      <c r="B185" s="14" t="s">
        <v>728</v>
      </c>
      <c r="C185" s="14" t="s">
        <v>478</v>
      </c>
      <c r="D185" s="14" t="s">
        <v>479</v>
      </c>
      <c r="E185" s="14">
        <v>2.0</v>
      </c>
      <c r="F185" s="17">
        <v>2034.0</v>
      </c>
      <c r="G185" s="17">
        <v>0.0</v>
      </c>
      <c r="H185" s="17">
        <v>0.0</v>
      </c>
      <c r="I185" s="17">
        <v>0.0</v>
      </c>
      <c r="J185" s="17">
        <f t="shared" si="1"/>
        <v>2034</v>
      </c>
      <c r="K185" s="17">
        <v>0.0</v>
      </c>
    </row>
    <row r="186" ht="15.75" customHeight="1">
      <c r="A186" s="14">
        <v>110.0</v>
      </c>
      <c r="B186" s="14" t="s">
        <v>729</v>
      </c>
      <c r="C186" s="14" t="s">
        <v>478</v>
      </c>
      <c r="D186" s="14" t="s">
        <v>479</v>
      </c>
      <c r="E186" s="14">
        <v>1.0</v>
      </c>
      <c r="F186" s="17">
        <v>1999.0</v>
      </c>
      <c r="G186" s="17">
        <v>0.0</v>
      </c>
      <c r="H186" s="17">
        <v>0.0</v>
      </c>
      <c r="I186" s="17">
        <v>0.0</v>
      </c>
      <c r="J186" s="17">
        <f t="shared" si="1"/>
        <v>1999</v>
      </c>
      <c r="K186" s="17">
        <v>0.0</v>
      </c>
    </row>
    <row r="187" ht="15.75" customHeight="1">
      <c r="A187" s="14">
        <v>147.0</v>
      </c>
      <c r="B187" s="14" t="s">
        <v>730</v>
      </c>
      <c r="C187" s="14" t="s">
        <v>478</v>
      </c>
      <c r="D187" s="14" t="s">
        <v>479</v>
      </c>
      <c r="E187" s="14">
        <v>1.0</v>
      </c>
      <c r="F187" s="17">
        <v>1999.0</v>
      </c>
      <c r="G187" s="17">
        <v>0.0</v>
      </c>
      <c r="H187" s="17">
        <v>0.0</v>
      </c>
      <c r="I187" s="17">
        <v>0.0</v>
      </c>
      <c r="J187" s="17">
        <f t="shared" si="1"/>
        <v>1999</v>
      </c>
      <c r="K187" s="17">
        <v>0.0</v>
      </c>
    </row>
    <row r="188" ht="15.75" customHeight="1">
      <c r="A188" s="14">
        <v>921.0</v>
      </c>
      <c r="B188" s="14" t="s">
        <v>731</v>
      </c>
      <c r="C188" s="14" t="s">
        <v>478</v>
      </c>
      <c r="D188" s="14" t="s">
        <v>479</v>
      </c>
      <c r="E188" s="14">
        <v>1.0</v>
      </c>
      <c r="F188" s="17">
        <v>1999.0</v>
      </c>
      <c r="G188" s="17">
        <v>0.0</v>
      </c>
      <c r="H188" s="17">
        <v>0.0</v>
      </c>
      <c r="I188" s="17">
        <v>0.0</v>
      </c>
      <c r="J188" s="17">
        <f t="shared" si="1"/>
        <v>1999</v>
      </c>
      <c r="K188" s="17">
        <v>0.0</v>
      </c>
    </row>
    <row r="189" ht="15.75" customHeight="1">
      <c r="A189" s="14">
        <v>231.0</v>
      </c>
      <c r="B189" s="14" t="s">
        <v>385</v>
      </c>
      <c r="C189" s="14" t="s">
        <v>478</v>
      </c>
      <c r="D189" s="14" t="s">
        <v>479</v>
      </c>
      <c r="E189" s="14">
        <v>1.0</v>
      </c>
      <c r="F189" s="17">
        <v>984.13</v>
      </c>
      <c r="G189" s="17">
        <v>984.13</v>
      </c>
      <c r="H189" s="17">
        <v>0.0</v>
      </c>
      <c r="I189" s="17">
        <v>0.0</v>
      </c>
      <c r="J189" s="17">
        <f t="shared" si="1"/>
        <v>1968.26</v>
      </c>
      <c r="K189" s="17">
        <v>0.0</v>
      </c>
    </row>
    <row r="190" ht="15.75" customHeight="1">
      <c r="A190" s="14">
        <v>144.0</v>
      </c>
      <c r="B190" s="14" t="s">
        <v>732</v>
      </c>
      <c r="C190" s="14" t="s">
        <v>478</v>
      </c>
      <c r="D190" s="14" t="s">
        <v>479</v>
      </c>
      <c r="E190" s="14">
        <v>1.0</v>
      </c>
      <c r="F190" s="17">
        <v>1799.0</v>
      </c>
      <c r="G190" s="17">
        <v>0.0</v>
      </c>
      <c r="H190" s="17">
        <v>0.0</v>
      </c>
      <c r="I190" s="17">
        <v>0.0</v>
      </c>
      <c r="J190" s="17">
        <f t="shared" si="1"/>
        <v>1799</v>
      </c>
      <c r="K190" s="17">
        <v>0.0</v>
      </c>
    </row>
    <row r="191" ht="15.75" customHeight="1">
      <c r="A191" s="14">
        <v>273.0</v>
      </c>
      <c r="B191" s="14" t="s">
        <v>733</v>
      </c>
      <c r="C191" s="14" t="s">
        <v>478</v>
      </c>
      <c r="D191" s="14" t="s">
        <v>479</v>
      </c>
      <c r="E191" s="14">
        <v>1.0</v>
      </c>
      <c r="F191" s="17">
        <v>1700.0</v>
      </c>
      <c r="G191" s="17">
        <v>0.0</v>
      </c>
      <c r="H191" s="17">
        <v>0.0</v>
      </c>
      <c r="I191" s="17">
        <v>0.0</v>
      </c>
      <c r="J191" s="17">
        <f t="shared" si="1"/>
        <v>1700</v>
      </c>
      <c r="K191" s="17">
        <v>0.0</v>
      </c>
    </row>
    <row r="192" ht="15.75" customHeight="1">
      <c r="A192" s="14">
        <v>259.0</v>
      </c>
      <c r="B192" s="14" t="s">
        <v>412</v>
      </c>
      <c r="C192" s="14" t="s">
        <v>478</v>
      </c>
      <c r="D192" s="14" t="s">
        <v>479</v>
      </c>
      <c r="E192" s="14">
        <v>1.0</v>
      </c>
      <c r="F192" s="17">
        <v>1699.0</v>
      </c>
      <c r="G192" s="17">
        <v>0.0</v>
      </c>
      <c r="H192" s="17">
        <v>0.0</v>
      </c>
      <c r="I192" s="17">
        <v>0.0</v>
      </c>
      <c r="J192" s="17">
        <f t="shared" si="1"/>
        <v>1699</v>
      </c>
      <c r="K192" s="17">
        <v>0.0</v>
      </c>
    </row>
    <row r="193" ht="15.75" customHeight="1">
      <c r="A193" s="14">
        <v>124.0</v>
      </c>
      <c r="B193" s="14" t="s">
        <v>734</v>
      </c>
      <c r="C193" s="14" t="s">
        <v>478</v>
      </c>
      <c r="D193" s="14" t="s">
        <v>479</v>
      </c>
      <c r="E193" s="14">
        <v>1.0</v>
      </c>
      <c r="F193" s="17">
        <v>1600.0</v>
      </c>
      <c r="G193" s="17">
        <v>0.0</v>
      </c>
      <c r="H193" s="17">
        <v>0.0</v>
      </c>
      <c r="I193" s="17">
        <v>0.0</v>
      </c>
      <c r="J193" s="17">
        <f t="shared" si="1"/>
        <v>1600</v>
      </c>
      <c r="K193" s="17">
        <v>0.0</v>
      </c>
    </row>
    <row r="194" ht="15.75" customHeight="1">
      <c r="A194" s="14">
        <v>986.0</v>
      </c>
      <c r="B194" s="14" t="s">
        <v>335</v>
      </c>
      <c r="C194" s="14" t="s">
        <v>478</v>
      </c>
      <c r="D194" s="14" t="s">
        <v>479</v>
      </c>
      <c r="E194" s="14">
        <v>1.0</v>
      </c>
      <c r="F194" s="17">
        <v>1500.0</v>
      </c>
      <c r="G194" s="17">
        <v>0.0</v>
      </c>
      <c r="H194" s="17">
        <v>0.0</v>
      </c>
      <c r="I194" s="17">
        <v>0.0</v>
      </c>
      <c r="J194" s="17">
        <f t="shared" si="1"/>
        <v>1500</v>
      </c>
      <c r="K194" s="17">
        <v>1679.86</v>
      </c>
    </row>
    <row r="195" ht="15.75" customHeight="1">
      <c r="A195" s="14">
        <v>218.0</v>
      </c>
      <c r="B195" s="14" t="s">
        <v>735</v>
      </c>
      <c r="C195" s="14" t="s">
        <v>478</v>
      </c>
      <c r="D195" s="14" t="s">
        <v>479</v>
      </c>
      <c r="E195" s="14">
        <v>1.0</v>
      </c>
      <c r="F195" s="17">
        <v>1499.0</v>
      </c>
      <c r="G195" s="17">
        <v>0.0</v>
      </c>
      <c r="H195" s="17">
        <v>0.0</v>
      </c>
      <c r="I195" s="17">
        <v>0.0</v>
      </c>
      <c r="J195" s="17">
        <f t="shared" si="1"/>
        <v>1499</v>
      </c>
      <c r="K195" s="17">
        <v>0.0</v>
      </c>
    </row>
    <row r="196" ht="15.75" customHeight="1">
      <c r="A196" s="14">
        <v>177.0</v>
      </c>
      <c r="B196" s="14" t="s">
        <v>560</v>
      </c>
      <c r="C196" s="14" t="s">
        <v>478</v>
      </c>
      <c r="D196" s="14" t="s">
        <v>479</v>
      </c>
      <c r="E196" s="14">
        <v>1.0</v>
      </c>
      <c r="F196" s="17">
        <v>1400.0</v>
      </c>
      <c r="G196" s="17">
        <v>0.0</v>
      </c>
      <c r="H196" s="17">
        <v>0.0</v>
      </c>
      <c r="I196" s="17">
        <v>0.0</v>
      </c>
      <c r="J196" s="17">
        <f t="shared" si="1"/>
        <v>1400</v>
      </c>
      <c r="K196" s="17">
        <v>1260.0</v>
      </c>
    </row>
    <row r="197" ht="15.75" customHeight="1">
      <c r="A197" s="14">
        <v>78.0</v>
      </c>
      <c r="B197" s="14" t="s">
        <v>597</v>
      </c>
      <c r="C197" s="14" t="s">
        <v>478</v>
      </c>
      <c r="D197" s="14" t="s">
        <v>479</v>
      </c>
      <c r="E197" s="14">
        <v>1.0</v>
      </c>
      <c r="F197" s="17">
        <v>1399.0</v>
      </c>
      <c r="G197" s="17">
        <v>0.0</v>
      </c>
      <c r="H197" s="17">
        <v>0.0</v>
      </c>
      <c r="I197" s="17">
        <v>0.0</v>
      </c>
      <c r="J197" s="17">
        <f t="shared" si="1"/>
        <v>1399</v>
      </c>
      <c r="K197" s="17">
        <v>93.27</v>
      </c>
    </row>
    <row r="198" ht="15.75" customHeight="1">
      <c r="A198" s="14">
        <v>243.0</v>
      </c>
      <c r="B198" s="14" t="s">
        <v>240</v>
      </c>
      <c r="C198" s="14" t="s">
        <v>478</v>
      </c>
      <c r="D198" s="14" t="s">
        <v>479</v>
      </c>
      <c r="E198" s="14">
        <v>1.0</v>
      </c>
      <c r="F198" s="17">
        <v>1399.0</v>
      </c>
      <c r="G198" s="17">
        <v>0.0</v>
      </c>
      <c r="H198" s="17">
        <v>0.0</v>
      </c>
      <c r="I198" s="17">
        <v>0.0</v>
      </c>
      <c r="J198" s="17">
        <f t="shared" si="1"/>
        <v>1399</v>
      </c>
      <c r="K198" s="17">
        <v>1044.5</v>
      </c>
    </row>
    <row r="199" ht="15.75" customHeight="1">
      <c r="A199" s="14">
        <v>51.0</v>
      </c>
      <c r="B199" s="14" t="s">
        <v>736</v>
      </c>
      <c r="C199" s="14" t="s">
        <v>478</v>
      </c>
      <c r="D199" s="14" t="s">
        <v>479</v>
      </c>
      <c r="E199" s="14">
        <v>1.0</v>
      </c>
      <c r="F199" s="17">
        <v>1249.0</v>
      </c>
      <c r="G199" s="17">
        <v>0.0</v>
      </c>
      <c r="H199" s="17">
        <v>0.0</v>
      </c>
      <c r="I199" s="17">
        <v>0.0</v>
      </c>
      <c r="J199" s="17">
        <f t="shared" si="1"/>
        <v>1249</v>
      </c>
      <c r="K199" s="17">
        <v>0.0</v>
      </c>
    </row>
    <row r="200" ht="15.75" customHeight="1">
      <c r="A200" s="14">
        <v>52.0</v>
      </c>
      <c r="B200" s="14" t="s">
        <v>310</v>
      </c>
      <c r="C200" s="14" t="s">
        <v>478</v>
      </c>
      <c r="D200" s="14" t="s">
        <v>479</v>
      </c>
      <c r="E200" s="14">
        <v>1.0</v>
      </c>
      <c r="F200" s="17">
        <v>999.0</v>
      </c>
      <c r="G200" s="17">
        <v>0.0</v>
      </c>
      <c r="H200" s="17">
        <v>0.0</v>
      </c>
      <c r="I200" s="17">
        <v>0.0</v>
      </c>
      <c r="J200" s="17">
        <f t="shared" si="1"/>
        <v>999</v>
      </c>
      <c r="K200" s="17">
        <v>3196.8</v>
      </c>
    </row>
    <row r="201" ht="15.75" customHeight="1">
      <c r="A201" s="14">
        <v>213.0</v>
      </c>
      <c r="B201" s="14" t="s">
        <v>737</v>
      </c>
      <c r="C201" s="14" t="s">
        <v>478</v>
      </c>
      <c r="D201" s="14" t="s">
        <v>479</v>
      </c>
      <c r="E201" s="14">
        <v>1.0</v>
      </c>
      <c r="F201" s="17">
        <v>999.0</v>
      </c>
      <c r="G201" s="17">
        <v>0.0</v>
      </c>
      <c r="H201" s="17">
        <v>0.0</v>
      </c>
      <c r="I201" s="17">
        <v>0.0</v>
      </c>
      <c r="J201" s="17">
        <f t="shared" si="1"/>
        <v>999</v>
      </c>
      <c r="K201" s="17">
        <v>0.0</v>
      </c>
    </row>
    <row r="202" ht="15.75" customHeight="1">
      <c r="A202" s="14">
        <v>163.0</v>
      </c>
      <c r="B202" s="14" t="s">
        <v>317</v>
      </c>
      <c r="C202" s="14" t="s">
        <v>478</v>
      </c>
      <c r="D202" s="14" t="s">
        <v>479</v>
      </c>
      <c r="E202" s="14">
        <v>10.0</v>
      </c>
      <c r="F202" s="17">
        <v>10.0</v>
      </c>
      <c r="G202" s="17">
        <v>10.0</v>
      </c>
      <c r="H202" s="17">
        <v>0.0</v>
      </c>
      <c r="I202" s="17">
        <v>0.0</v>
      </c>
      <c r="J202" s="17">
        <f t="shared" si="1"/>
        <v>20</v>
      </c>
      <c r="K202" s="17">
        <v>0.0</v>
      </c>
    </row>
    <row r="203" ht="15.75" customHeight="1">
      <c r="A203" s="14">
        <v>160.0</v>
      </c>
      <c r="B203" s="14" t="s">
        <v>384</v>
      </c>
      <c r="C203" s="14" t="s">
        <v>478</v>
      </c>
      <c r="D203" s="14" t="s">
        <v>479</v>
      </c>
      <c r="E203" s="14">
        <v>4.0</v>
      </c>
      <c r="F203" s="17">
        <v>4.0</v>
      </c>
      <c r="G203" s="17">
        <v>4.0</v>
      </c>
      <c r="H203" s="17">
        <v>0.0</v>
      </c>
      <c r="I203" s="17">
        <v>0.0</v>
      </c>
      <c r="J203" s="17">
        <f t="shared" si="1"/>
        <v>8</v>
      </c>
      <c r="K203" s="17">
        <v>0.0</v>
      </c>
    </row>
    <row r="204" ht="15.75" customHeight="1">
      <c r="A204" s="14">
        <v>27.0</v>
      </c>
      <c r="B204" s="14" t="s">
        <v>562</v>
      </c>
      <c r="C204" s="14" t="s">
        <v>478</v>
      </c>
      <c r="D204" s="14" t="s">
        <v>738</v>
      </c>
      <c r="E204" s="14">
        <v>0.0</v>
      </c>
      <c r="F204" s="17">
        <v>0.0</v>
      </c>
      <c r="G204" s="17">
        <v>0.0</v>
      </c>
      <c r="H204" s="17">
        <v>0.0</v>
      </c>
      <c r="I204" s="17">
        <v>0.0</v>
      </c>
      <c r="J204" s="17">
        <f t="shared" si="1"/>
        <v>0</v>
      </c>
      <c r="K204" s="17">
        <v>1200.0</v>
      </c>
    </row>
    <row r="205" ht="15.75" customHeight="1">
      <c r="A205" s="14">
        <v>63.0</v>
      </c>
      <c r="B205" s="14" t="s">
        <v>604</v>
      </c>
      <c r="C205" s="14" t="s">
        <v>478</v>
      </c>
      <c r="D205" s="14" t="s">
        <v>738</v>
      </c>
      <c r="E205" s="14">
        <v>0.0</v>
      </c>
      <c r="F205" s="17">
        <v>0.0</v>
      </c>
      <c r="G205" s="17">
        <v>0.0</v>
      </c>
      <c r="H205" s="17">
        <v>0.0</v>
      </c>
      <c r="I205" s="17">
        <v>0.0</v>
      </c>
      <c r="J205" s="17">
        <f t="shared" si="1"/>
        <v>0</v>
      </c>
      <c r="K205" s="17">
        <v>0.0</v>
      </c>
    </row>
    <row r="206" ht="15.75" customHeight="1">
      <c r="A206" s="14">
        <v>99.0</v>
      </c>
      <c r="B206" s="14" t="s">
        <v>547</v>
      </c>
      <c r="C206" s="14" t="s">
        <v>478</v>
      </c>
      <c r="D206" s="14" t="s">
        <v>738</v>
      </c>
      <c r="E206" s="14">
        <v>0.0</v>
      </c>
      <c r="F206" s="17">
        <v>0.0</v>
      </c>
      <c r="G206" s="17">
        <v>0.0</v>
      </c>
      <c r="H206" s="17">
        <v>0.0</v>
      </c>
      <c r="I206" s="17">
        <v>0.0</v>
      </c>
      <c r="J206" s="17">
        <f t="shared" si="1"/>
        <v>0</v>
      </c>
      <c r="K206" s="17">
        <v>1838.47</v>
      </c>
    </row>
    <row r="207" ht="15.75" customHeight="1">
      <c r="A207" s="14">
        <v>132.0</v>
      </c>
      <c r="B207" s="14" t="s">
        <v>574</v>
      </c>
      <c r="C207" s="14" t="s">
        <v>478</v>
      </c>
      <c r="D207" s="14" t="s">
        <v>738</v>
      </c>
      <c r="E207" s="14">
        <v>0.0</v>
      </c>
      <c r="F207" s="17">
        <v>0.0</v>
      </c>
      <c r="G207" s="17">
        <v>0.0</v>
      </c>
      <c r="H207" s="17">
        <v>0.0</v>
      </c>
      <c r="I207" s="17">
        <v>0.0</v>
      </c>
      <c r="J207" s="17">
        <f t="shared" si="1"/>
        <v>0</v>
      </c>
      <c r="K207" s="17">
        <v>566.34</v>
      </c>
    </row>
    <row r="208" ht="15.75" customHeight="1">
      <c r="A208" s="14">
        <v>207.0</v>
      </c>
      <c r="B208" s="14" t="s">
        <v>595</v>
      </c>
      <c r="C208" s="14" t="s">
        <v>478</v>
      </c>
      <c r="D208" s="14" t="s">
        <v>738</v>
      </c>
      <c r="E208" s="14">
        <v>0.0</v>
      </c>
      <c r="F208" s="17">
        <v>0.0</v>
      </c>
      <c r="G208" s="17">
        <v>0.0</v>
      </c>
      <c r="H208" s="17">
        <v>0.0</v>
      </c>
      <c r="I208" s="17">
        <v>0.0</v>
      </c>
      <c r="J208" s="17">
        <f t="shared" si="1"/>
        <v>0</v>
      </c>
      <c r="K208" s="17">
        <v>100.0</v>
      </c>
    </row>
    <row r="209" ht="15.75" customHeight="1">
      <c r="A209" s="14">
        <v>226.0</v>
      </c>
      <c r="B209" s="14" t="s">
        <v>606</v>
      </c>
      <c r="C209" s="14" t="s">
        <v>478</v>
      </c>
      <c r="D209" s="14" t="s">
        <v>738</v>
      </c>
      <c r="E209" s="14">
        <v>0.0</v>
      </c>
      <c r="F209" s="17">
        <v>0.0</v>
      </c>
      <c r="G209" s="17">
        <v>0.0</v>
      </c>
      <c r="H209" s="17">
        <v>0.0</v>
      </c>
      <c r="I209" s="17">
        <v>0.0</v>
      </c>
      <c r="J209" s="17">
        <f t="shared" si="1"/>
        <v>0</v>
      </c>
      <c r="K209" s="17">
        <v>599.7</v>
      </c>
    </row>
    <row r="210" ht="15.75" customHeight="1">
      <c r="A210" s="14">
        <v>245.0</v>
      </c>
      <c r="B210" s="14" t="s">
        <v>333</v>
      </c>
      <c r="C210" s="14" t="s">
        <v>478</v>
      </c>
      <c r="D210" s="14" t="s">
        <v>738</v>
      </c>
      <c r="E210" s="14">
        <v>0.0</v>
      </c>
      <c r="F210" s="17">
        <v>0.0</v>
      </c>
      <c r="G210" s="17">
        <v>0.0</v>
      </c>
      <c r="H210" s="17">
        <v>0.0</v>
      </c>
      <c r="I210" s="17">
        <v>0.0</v>
      </c>
      <c r="J210" s="17">
        <f t="shared" si="1"/>
        <v>0</v>
      </c>
      <c r="K210" s="17">
        <v>0.0</v>
      </c>
    </row>
    <row r="211" ht="15.75" customHeight="1">
      <c r="A211" s="14">
        <v>988.0</v>
      </c>
      <c r="B211" s="14" t="s">
        <v>608</v>
      </c>
      <c r="C211" s="14" t="s">
        <v>478</v>
      </c>
      <c r="D211" s="14" t="s">
        <v>738</v>
      </c>
      <c r="E211" s="14">
        <v>0.0</v>
      </c>
      <c r="F211" s="17">
        <v>0.0</v>
      </c>
      <c r="G211" s="17">
        <v>0.0</v>
      </c>
      <c r="H211" s="17">
        <v>0.0</v>
      </c>
      <c r="I211" s="17">
        <v>0.0</v>
      </c>
      <c r="J211" s="17">
        <f t="shared" si="1"/>
        <v>0</v>
      </c>
      <c r="K211" s="17">
        <v>0.0</v>
      </c>
    </row>
    <row r="212" ht="15.75" customHeight="1">
      <c r="A212" s="3"/>
      <c r="B212" s="4" t="s">
        <v>739</v>
      </c>
      <c r="C212" s="3"/>
      <c r="D212" s="3"/>
      <c r="E212" s="22">
        <f t="shared" ref="E212:K212" si="2">SUM(E5:E211)</f>
        <v>3074</v>
      </c>
      <c r="F212" s="23">
        <f t="shared" si="2"/>
        <v>7326593.36</v>
      </c>
      <c r="G212" s="23">
        <f t="shared" si="2"/>
        <v>429887.89</v>
      </c>
      <c r="H212" s="23">
        <f t="shared" si="2"/>
        <v>1222.95</v>
      </c>
      <c r="I212" s="23">
        <f t="shared" si="2"/>
        <v>215293</v>
      </c>
      <c r="J212" s="23">
        <f t="shared" si="2"/>
        <v>7972997.2</v>
      </c>
      <c r="K212" s="23">
        <f t="shared" si="2"/>
        <v>183921.84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2.0"/>
    <col customWidth="1" min="3" max="3" width="70.0"/>
    <col customWidth="1" min="4" max="5" width="14.0"/>
    <col customWidth="1" min="6" max="26" width="8.71"/>
  </cols>
  <sheetData>
    <row r="1">
      <c r="A1" s="1" t="s">
        <v>470</v>
      </c>
      <c r="B1" s="3"/>
      <c r="C1" s="3"/>
      <c r="D1" s="3"/>
      <c r="E1" s="3"/>
    </row>
    <row r="2">
      <c r="A2" s="3"/>
      <c r="B2" s="3"/>
      <c r="C2" s="3"/>
      <c r="D2" s="3"/>
      <c r="E2" s="3"/>
    </row>
    <row r="3">
      <c r="A3" s="21" t="s">
        <v>471</v>
      </c>
      <c r="B3" s="3"/>
      <c r="C3" s="3"/>
      <c r="D3" s="3"/>
      <c r="E3" s="3"/>
    </row>
    <row r="4">
      <c r="A4" s="13" t="s">
        <v>23</v>
      </c>
      <c r="B4" s="13" t="s">
        <v>24</v>
      </c>
      <c r="C4" s="13" t="s">
        <v>480</v>
      </c>
      <c r="D4" s="3"/>
      <c r="E4" s="3"/>
    </row>
    <row r="5">
      <c r="A5" s="14" t="s">
        <v>481</v>
      </c>
      <c r="B5" s="14" t="s">
        <v>163</v>
      </c>
      <c r="C5" s="14">
        <v>4200.0</v>
      </c>
      <c r="D5" s="3"/>
      <c r="E5" s="3"/>
    </row>
    <row r="6">
      <c r="A6" s="14" t="s">
        <v>482</v>
      </c>
      <c r="B6" s="14" t="s">
        <v>150</v>
      </c>
      <c r="C6" s="14">
        <v>2849.0</v>
      </c>
      <c r="D6" s="3"/>
      <c r="E6" s="3"/>
    </row>
    <row r="7">
      <c r="A7" s="14" t="s">
        <v>483</v>
      </c>
      <c r="B7" s="14" t="s">
        <v>484</v>
      </c>
      <c r="C7" s="14">
        <v>1199.0</v>
      </c>
      <c r="D7" s="3"/>
      <c r="E7" s="3"/>
    </row>
    <row r="8">
      <c r="A8" s="14" t="s">
        <v>485</v>
      </c>
      <c r="B8" s="14" t="s">
        <v>96</v>
      </c>
      <c r="C8" s="14">
        <v>1500.0</v>
      </c>
      <c r="D8" s="3"/>
      <c r="E8" s="3"/>
    </row>
    <row r="9">
      <c r="A9" s="14" t="s">
        <v>486</v>
      </c>
      <c r="B9" s="14" t="s">
        <v>96</v>
      </c>
      <c r="C9" s="14">
        <v>1500.0</v>
      </c>
      <c r="D9" s="3"/>
      <c r="E9" s="3"/>
    </row>
    <row r="10">
      <c r="A10" s="14" t="s">
        <v>487</v>
      </c>
      <c r="B10" s="14" t="s">
        <v>488</v>
      </c>
      <c r="C10" s="14">
        <v>2599.0</v>
      </c>
      <c r="D10" s="3"/>
      <c r="E10" s="3"/>
    </row>
    <row r="11">
      <c r="A11" s="3"/>
      <c r="B11" s="3"/>
      <c r="C11" s="3"/>
      <c r="D11" s="3"/>
      <c r="E11" s="3"/>
    </row>
    <row r="12">
      <c r="A12" s="21" t="s">
        <v>489</v>
      </c>
      <c r="B12" s="3"/>
      <c r="C12" s="3"/>
      <c r="D12" s="3"/>
      <c r="E12" s="3"/>
    </row>
    <row r="13">
      <c r="A13" s="13" t="s">
        <v>23</v>
      </c>
      <c r="B13" s="13" t="s">
        <v>24</v>
      </c>
      <c r="C13" s="13" t="s">
        <v>490</v>
      </c>
      <c r="D13" s="13" t="s">
        <v>491</v>
      </c>
      <c r="E13" s="13" t="s">
        <v>480</v>
      </c>
    </row>
    <row r="14">
      <c r="A14" s="14" t="s">
        <v>492</v>
      </c>
      <c r="B14" s="14" t="s">
        <v>190</v>
      </c>
      <c r="C14" s="14" t="s">
        <v>493</v>
      </c>
      <c r="D14" s="14" t="s">
        <v>494</v>
      </c>
      <c r="E14" s="14">
        <v>5499.0</v>
      </c>
    </row>
    <row r="15">
      <c r="A15" s="14" t="s">
        <v>495</v>
      </c>
      <c r="B15" s="14" t="s">
        <v>496</v>
      </c>
      <c r="C15" s="14" t="s">
        <v>493</v>
      </c>
      <c r="D15" s="14" t="s">
        <v>494</v>
      </c>
      <c r="E15" s="14">
        <v>3699.0</v>
      </c>
    </row>
    <row r="16">
      <c r="A16" s="14" t="s">
        <v>135</v>
      </c>
      <c r="B16" s="14" t="s">
        <v>128</v>
      </c>
      <c r="C16" s="14" t="s">
        <v>493</v>
      </c>
      <c r="D16" s="14" t="s">
        <v>497</v>
      </c>
      <c r="E16" s="14">
        <v>2699.0</v>
      </c>
    </row>
    <row r="17">
      <c r="A17" s="14" t="s">
        <v>498</v>
      </c>
      <c r="B17" s="14" t="s">
        <v>216</v>
      </c>
      <c r="C17" s="14" t="s">
        <v>493</v>
      </c>
      <c r="D17" s="14" t="s">
        <v>497</v>
      </c>
      <c r="E17" s="14">
        <v>1699.0</v>
      </c>
    </row>
    <row r="18">
      <c r="A18" s="14" t="s">
        <v>499</v>
      </c>
      <c r="B18" s="14" t="s">
        <v>500</v>
      </c>
      <c r="C18" s="14" t="s">
        <v>493</v>
      </c>
      <c r="D18" s="14" t="s">
        <v>502</v>
      </c>
      <c r="E18" s="14">
        <v>8500.0</v>
      </c>
    </row>
    <row r="19">
      <c r="A19" s="14" t="s">
        <v>503</v>
      </c>
      <c r="B19" s="14" t="s">
        <v>128</v>
      </c>
      <c r="C19" s="14" t="s">
        <v>493</v>
      </c>
      <c r="D19" s="14" t="s">
        <v>504</v>
      </c>
      <c r="E19" s="14">
        <v>2699.0</v>
      </c>
    </row>
    <row r="20">
      <c r="A20" s="14" t="s">
        <v>505</v>
      </c>
      <c r="B20" s="14" t="s">
        <v>128</v>
      </c>
      <c r="C20" s="14" t="s">
        <v>493</v>
      </c>
      <c r="D20" s="14" t="s">
        <v>504</v>
      </c>
      <c r="E20" s="14">
        <v>2199.0</v>
      </c>
    </row>
    <row r="21" ht="15.75" customHeight="1">
      <c r="A21" s="14" t="s">
        <v>506</v>
      </c>
      <c r="B21" s="14" t="s">
        <v>507</v>
      </c>
      <c r="C21" s="14" t="s">
        <v>508</v>
      </c>
      <c r="D21" s="14" t="s">
        <v>504</v>
      </c>
      <c r="E21" s="14">
        <v>1999.0</v>
      </c>
    </row>
    <row r="22" ht="15.75" customHeight="1">
      <c r="A22" s="14" t="s">
        <v>509</v>
      </c>
      <c r="B22" s="14" t="s">
        <v>216</v>
      </c>
      <c r="C22" s="14" t="s">
        <v>493</v>
      </c>
      <c r="D22" s="14" t="s">
        <v>504</v>
      </c>
      <c r="E22" s="14">
        <v>1700.0</v>
      </c>
    </row>
    <row r="23" ht="15.75" customHeight="1">
      <c r="A23" s="14" t="s">
        <v>510</v>
      </c>
      <c r="B23" s="14" t="s">
        <v>511</v>
      </c>
      <c r="C23" s="14" t="s">
        <v>493</v>
      </c>
      <c r="D23" s="14" t="s">
        <v>504</v>
      </c>
      <c r="E23" s="14">
        <v>1700.0</v>
      </c>
    </row>
    <row r="24" ht="15.75" customHeight="1">
      <c r="A24" s="14" t="s">
        <v>512</v>
      </c>
      <c r="B24" s="14" t="s">
        <v>513</v>
      </c>
      <c r="C24" s="14" t="s">
        <v>493</v>
      </c>
      <c r="D24" s="14" t="s">
        <v>504</v>
      </c>
      <c r="E24" s="14">
        <v>1600.0</v>
      </c>
    </row>
    <row r="25" ht="15.75" customHeight="1">
      <c r="A25" s="14" t="s">
        <v>514</v>
      </c>
      <c r="B25" s="14" t="s">
        <v>501</v>
      </c>
      <c r="C25" s="14" t="s">
        <v>493</v>
      </c>
      <c r="D25" s="14" t="s">
        <v>504</v>
      </c>
      <c r="E25" s="14">
        <v>1999.0</v>
      </c>
    </row>
    <row r="26" ht="15.75" customHeight="1">
      <c r="A26" s="14" t="s">
        <v>515</v>
      </c>
      <c r="B26" s="14" t="s">
        <v>501</v>
      </c>
      <c r="C26" s="14" t="s">
        <v>493</v>
      </c>
      <c r="D26" s="14" t="s">
        <v>504</v>
      </c>
      <c r="E26" s="14">
        <v>1999.0</v>
      </c>
    </row>
    <row r="27" ht="15.75" customHeight="1">
      <c r="A27" s="14" t="s">
        <v>516</v>
      </c>
      <c r="B27" s="14" t="s">
        <v>501</v>
      </c>
      <c r="C27" s="14" t="s">
        <v>493</v>
      </c>
      <c r="D27" s="14" t="s">
        <v>504</v>
      </c>
      <c r="E27" s="14">
        <v>1999.0</v>
      </c>
    </row>
    <row r="28" ht="15.75" customHeight="1">
      <c r="A28" s="14" t="s">
        <v>517</v>
      </c>
      <c r="B28" s="14" t="s">
        <v>216</v>
      </c>
      <c r="C28" s="14" t="s">
        <v>493</v>
      </c>
      <c r="D28" s="14" t="s">
        <v>504</v>
      </c>
      <c r="E28" s="14">
        <v>1700.0</v>
      </c>
    </row>
    <row r="29" ht="15.75" customHeight="1">
      <c r="A29" s="14" t="s">
        <v>518</v>
      </c>
      <c r="B29" s="14" t="s">
        <v>501</v>
      </c>
      <c r="C29" s="14" t="s">
        <v>493</v>
      </c>
      <c r="D29" s="14" t="s">
        <v>504</v>
      </c>
      <c r="E29" s="14">
        <v>1999.0</v>
      </c>
    </row>
    <row r="30" ht="15.75" customHeight="1">
      <c r="A30" s="3"/>
      <c r="B30" s="3"/>
      <c r="C30" s="3"/>
      <c r="D30" s="3"/>
      <c r="E30" s="3"/>
    </row>
    <row r="31" ht="15.75" customHeight="1">
      <c r="A31" s="21" t="s">
        <v>520</v>
      </c>
      <c r="B31" s="3"/>
      <c r="C31" s="3"/>
      <c r="D31" s="3"/>
      <c r="E31" s="3"/>
    </row>
    <row r="32" ht="15.75" customHeight="1">
      <c r="A32" s="13" t="s">
        <v>24</v>
      </c>
      <c r="B32" s="13" t="s">
        <v>38</v>
      </c>
      <c r="C32" s="13" t="s">
        <v>521</v>
      </c>
      <c r="D32" s="3"/>
      <c r="E32" s="3"/>
    </row>
    <row r="33" ht="15.75" customHeight="1">
      <c r="A33" s="14" t="s">
        <v>522</v>
      </c>
      <c r="B33" s="14">
        <v>9752.77</v>
      </c>
      <c r="C33" s="14" t="s">
        <v>523</v>
      </c>
      <c r="D33" s="3"/>
      <c r="E33" s="3"/>
    </row>
    <row r="34" ht="15.75" customHeight="1">
      <c r="A34" s="14" t="s">
        <v>524</v>
      </c>
      <c r="B34" s="14">
        <v>8097.3</v>
      </c>
      <c r="C34" s="14" t="s">
        <v>525</v>
      </c>
      <c r="D34" s="3"/>
      <c r="E34" s="3"/>
    </row>
    <row r="35" ht="15.75" customHeight="1">
      <c r="A35" s="14" t="s">
        <v>43</v>
      </c>
      <c r="B35" s="14">
        <v>7766.01</v>
      </c>
      <c r="C35" s="14" t="s">
        <v>526</v>
      </c>
      <c r="D35" s="3"/>
      <c r="E35" s="3"/>
    </row>
    <row r="36" ht="15.75" customHeight="1">
      <c r="A36" s="14" t="s">
        <v>527</v>
      </c>
      <c r="B36" s="14">
        <v>6667.71</v>
      </c>
      <c r="C36" s="14" t="s">
        <v>528</v>
      </c>
      <c r="D36" s="3"/>
      <c r="E36" s="3"/>
    </row>
    <row r="37" ht="15.75" customHeight="1">
      <c r="A37" s="14" t="s">
        <v>529</v>
      </c>
      <c r="B37" s="14">
        <v>6251.93</v>
      </c>
      <c r="C37" s="14" t="s">
        <v>530</v>
      </c>
      <c r="D37" s="3"/>
      <c r="E37" s="3"/>
    </row>
    <row r="38" ht="15.75" customHeight="1">
      <c r="A38" s="14" t="s">
        <v>531</v>
      </c>
      <c r="B38" s="14">
        <v>5277.91</v>
      </c>
      <c r="C38" s="14" t="s">
        <v>532</v>
      </c>
      <c r="D38" s="3"/>
      <c r="E38" s="3"/>
    </row>
    <row r="39" ht="15.75" customHeight="1">
      <c r="A39" s="14" t="s">
        <v>533</v>
      </c>
      <c r="B39" s="14">
        <v>4461.15</v>
      </c>
      <c r="C39" s="14" t="s">
        <v>534</v>
      </c>
      <c r="D39" s="3"/>
      <c r="E39" s="3"/>
    </row>
    <row r="40" ht="15.75" customHeight="1">
      <c r="A40" s="14" t="s">
        <v>535</v>
      </c>
      <c r="B40" s="14">
        <v>3904.93</v>
      </c>
      <c r="C40" s="14" t="s">
        <v>536</v>
      </c>
      <c r="D40" s="3"/>
      <c r="E40" s="3"/>
    </row>
    <row r="41" ht="15.75" customHeight="1">
      <c r="A41" s="14" t="s">
        <v>537</v>
      </c>
      <c r="B41" s="14">
        <v>3750.0</v>
      </c>
      <c r="C41" s="14" t="s">
        <v>538</v>
      </c>
      <c r="D41" s="3"/>
      <c r="E41" s="3"/>
    </row>
    <row r="42" ht="15.75" customHeight="1">
      <c r="A42" s="14" t="s">
        <v>428</v>
      </c>
      <c r="B42" s="14">
        <v>3447.7</v>
      </c>
      <c r="C42" s="14" t="s">
        <v>539</v>
      </c>
      <c r="D42" s="3"/>
      <c r="E42" s="3"/>
    </row>
    <row r="43" ht="15.75" customHeight="1">
      <c r="A43" s="14" t="s">
        <v>310</v>
      </c>
      <c r="B43" s="14">
        <v>3196.8</v>
      </c>
      <c r="C43" s="14" t="s">
        <v>540</v>
      </c>
      <c r="D43" s="3"/>
      <c r="E43" s="3"/>
    </row>
    <row r="44" ht="15.75" customHeight="1">
      <c r="A44" s="14" t="s">
        <v>541</v>
      </c>
      <c r="B44" s="14">
        <v>3150.0</v>
      </c>
      <c r="C44" s="14" t="s">
        <v>542</v>
      </c>
      <c r="D44" s="3"/>
      <c r="E44" s="3"/>
    </row>
    <row r="45" ht="15.75" customHeight="1">
      <c r="A45" s="14" t="s">
        <v>543</v>
      </c>
      <c r="B45" s="14">
        <v>3065.33</v>
      </c>
      <c r="C45" s="14" t="s">
        <v>544</v>
      </c>
      <c r="D45" s="3"/>
      <c r="E45" s="3"/>
    </row>
    <row r="46" ht="15.75" customHeight="1">
      <c r="A46" s="14" t="s">
        <v>128</v>
      </c>
      <c r="B46" s="14">
        <v>2429.1</v>
      </c>
      <c r="C46" s="14" t="s">
        <v>545</v>
      </c>
      <c r="D46" s="3"/>
      <c r="E46" s="3"/>
    </row>
    <row r="47" ht="15.75" customHeight="1">
      <c r="A47" s="14" t="s">
        <v>488</v>
      </c>
      <c r="B47" s="14">
        <v>2339.1</v>
      </c>
      <c r="C47" s="14" t="s">
        <v>546</v>
      </c>
      <c r="D47" s="3"/>
      <c r="E47" s="3"/>
    </row>
    <row r="48" ht="15.75" customHeight="1">
      <c r="A48" s="14" t="s">
        <v>547</v>
      </c>
      <c r="B48" s="14">
        <v>1838.47</v>
      </c>
      <c r="C48" s="14" t="s">
        <v>548</v>
      </c>
      <c r="D48" s="3"/>
      <c r="E48" s="3"/>
    </row>
    <row r="49" ht="15.75" customHeight="1">
      <c r="A49" s="14" t="s">
        <v>419</v>
      </c>
      <c r="B49" s="14">
        <v>1820.01</v>
      </c>
      <c r="C49" s="14" t="s">
        <v>550</v>
      </c>
      <c r="D49" s="3"/>
      <c r="E49" s="3"/>
    </row>
    <row r="50" ht="15.75" customHeight="1">
      <c r="A50" s="14" t="s">
        <v>335</v>
      </c>
      <c r="B50" s="14">
        <v>1679.86</v>
      </c>
      <c r="C50" s="14" t="s">
        <v>551</v>
      </c>
      <c r="D50" s="3"/>
      <c r="E50" s="3"/>
    </row>
    <row r="51" ht="15.75" customHeight="1">
      <c r="A51" s="14" t="s">
        <v>163</v>
      </c>
      <c r="B51" s="14">
        <v>1595.33</v>
      </c>
      <c r="C51" s="14" t="s">
        <v>552</v>
      </c>
      <c r="D51" s="3"/>
      <c r="E51" s="3"/>
    </row>
    <row r="52" ht="15.75" customHeight="1">
      <c r="A52" s="14" t="s">
        <v>553</v>
      </c>
      <c r="B52" s="14">
        <v>1439.47</v>
      </c>
      <c r="C52" s="14" t="s">
        <v>554</v>
      </c>
      <c r="D52" s="3"/>
      <c r="E52" s="3"/>
    </row>
    <row r="53" ht="15.75" customHeight="1">
      <c r="A53" s="14" t="s">
        <v>555</v>
      </c>
      <c r="B53" s="14">
        <v>1393.0</v>
      </c>
      <c r="C53" s="14" t="s">
        <v>556</v>
      </c>
      <c r="D53" s="3"/>
      <c r="E53" s="3"/>
    </row>
    <row r="54" ht="15.75" customHeight="1">
      <c r="A54" s="14" t="s">
        <v>557</v>
      </c>
      <c r="B54" s="14">
        <v>1303.33</v>
      </c>
      <c r="C54" s="14" t="s">
        <v>558</v>
      </c>
      <c r="D54" s="3"/>
      <c r="E54" s="3"/>
    </row>
    <row r="55" ht="15.75" customHeight="1">
      <c r="A55" s="14" t="s">
        <v>560</v>
      </c>
      <c r="B55" s="14">
        <v>1260.0</v>
      </c>
      <c r="C55" s="14" t="s">
        <v>561</v>
      </c>
      <c r="D55" s="3"/>
      <c r="E55" s="3"/>
    </row>
    <row r="56" ht="15.75" customHeight="1">
      <c r="A56" s="14" t="s">
        <v>562</v>
      </c>
      <c r="B56" s="14">
        <v>1200.0</v>
      </c>
      <c r="C56" s="14" t="s">
        <v>563</v>
      </c>
      <c r="D56" s="3"/>
      <c r="E56" s="3"/>
    </row>
    <row r="57" ht="15.75" customHeight="1">
      <c r="A57" s="14" t="s">
        <v>564</v>
      </c>
      <c r="B57" s="14">
        <v>990.0</v>
      </c>
      <c r="C57" s="14" t="s">
        <v>565</v>
      </c>
      <c r="D57" s="3"/>
      <c r="E57" s="3"/>
    </row>
    <row r="58" ht="15.75" customHeight="1">
      <c r="A58" s="14" t="s">
        <v>566</v>
      </c>
      <c r="B58" s="14">
        <v>899.5</v>
      </c>
      <c r="C58" s="14" t="s">
        <v>567</v>
      </c>
      <c r="D58" s="3"/>
      <c r="E58" s="3"/>
    </row>
    <row r="59" ht="15.75" customHeight="1">
      <c r="A59" s="14" t="s">
        <v>568</v>
      </c>
      <c r="B59" s="14">
        <v>800.0</v>
      </c>
      <c r="C59" s="14" t="s">
        <v>569</v>
      </c>
      <c r="D59" s="3"/>
      <c r="E59" s="3"/>
    </row>
    <row r="60" ht="15.75" customHeight="1">
      <c r="A60" s="14" t="s">
        <v>374</v>
      </c>
      <c r="B60" s="14">
        <v>700.0</v>
      </c>
      <c r="C60" s="14" t="s">
        <v>571</v>
      </c>
      <c r="D60" s="3"/>
      <c r="E60" s="3"/>
    </row>
    <row r="61" ht="15.75" customHeight="1">
      <c r="A61" s="14" t="s">
        <v>572</v>
      </c>
      <c r="B61" s="14">
        <v>699.54</v>
      </c>
      <c r="C61" s="14" t="s">
        <v>573</v>
      </c>
      <c r="D61" s="3"/>
      <c r="E61" s="3"/>
    </row>
    <row r="62" ht="15.75" customHeight="1">
      <c r="A62" s="14" t="s">
        <v>574</v>
      </c>
      <c r="B62" s="14">
        <v>566.34</v>
      </c>
      <c r="C62" s="14" t="s">
        <v>575</v>
      </c>
      <c r="D62" s="3"/>
      <c r="E62" s="3"/>
    </row>
    <row r="63" ht="15.75" customHeight="1">
      <c r="A63" s="14" t="s">
        <v>576</v>
      </c>
      <c r="B63" s="14">
        <v>560.0</v>
      </c>
      <c r="C63" s="14" t="s">
        <v>577</v>
      </c>
      <c r="D63" s="3"/>
      <c r="E63" s="3"/>
    </row>
    <row r="64" ht="15.75" customHeight="1">
      <c r="A64" s="14" t="s">
        <v>286</v>
      </c>
      <c r="B64" s="14">
        <v>519.93</v>
      </c>
      <c r="C64" s="14" t="s">
        <v>578</v>
      </c>
      <c r="D64" s="3"/>
      <c r="E64" s="3"/>
    </row>
    <row r="65" ht="15.75" customHeight="1">
      <c r="A65" s="14" t="s">
        <v>513</v>
      </c>
      <c r="B65" s="14">
        <v>499.83</v>
      </c>
      <c r="C65" s="14" t="s">
        <v>580</v>
      </c>
      <c r="D65" s="3"/>
      <c r="E65" s="3"/>
    </row>
    <row r="66" ht="15.75" customHeight="1">
      <c r="A66" s="14" t="s">
        <v>581</v>
      </c>
      <c r="B66" s="14">
        <v>476.67</v>
      </c>
      <c r="C66" s="14" t="s">
        <v>582</v>
      </c>
      <c r="D66" s="3"/>
      <c r="E66" s="3"/>
    </row>
    <row r="67" ht="15.75" customHeight="1">
      <c r="A67" s="14" t="s">
        <v>583</v>
      </c>
      <c r="B67" s="14">
        <v>400.0</v>
      </c>
      <c r="C67" s="14" t="s">
        <v>584</v>
      </c>
      <c r="D67" s="3"/>
      <c r="E67" s="3"/>
    </row>
    <row r="68" ht="15.75" customHeight="1">
      <c r="A68" s="14" t="s">
        <v>96</v>
      </c>
      <c r="B68" s="14">
        <v>400.0</v>
      </c>
      <c r="C68" s="14" t="s">
        <v>585</v>
      </c>
      <c r="D68" s="3"/>
      <c r="E68" s="3"/>
    </row>
    <row r="69" ht="15.75" customHeight="1">
      <c r="A69" s="14" t="s">
        <v>183</v>
      </c>
      <c r="B69" s="14">
        <v>399.8</v>
      </c>
      <c r="C69" s="14" t="s">
        <v>586</v>
      </c>
      <c r="D69" s="3"/>
      <c r="E69" s="3"/>
    </row>
    <row r="70" ht="15.75" customHeight="1">
      <c r="A70" s="14" t="s">
        <v>587</v>
      </c>
      <c r="B70" s="14">
        <v>399.8</v>
      </c>
      <c r="C70" s="14" t="s">
        <v>588</v>
      </c>
      <c r="D70" s="3"/>
      <c r="E70" s="3"/>
    </row>
    <row r="71" ht="15.75" customHeight="1">
      <c r="A71" s="14" t="s">
        <v>363</v>
      </c>
      <c r="B71" s="14">
        <v>353.0</v>
      </c>
      <c r="C71" s="14" t="s">
        <v>589</v>
      </c>
      <c r="D71" s="3"/>
      <c r="E71" s="3"/>
    </row>
    <row r="72" ht="15.75" customHeight="1">
      <c r="A72" s="14" t="s">
        <v>240</v>
      </c>
      <c r="B72" s="14">
        <v>345.0</v>
      </c>
      <c r="C72" s="14" t="s">
        <v>590</v>
      </c>
      <c r="D72" s="3"/>
      <c r="E72" s="3"/>
    </row>
    <row r="73" ht="15.75" customHeight="1">
      <c r="A73" s="14" t="s">
        <v>592</v>
      </c>
      <c r="B73" s="14">
        <v>159.93</v>
      </c>
      <c r="C73" s="14" t="s">
        <v>593</v>
      </c>
      <c r="D73" s="3"/>
      <c r="E73" s="3"/>
    </row>
    <row r="74" ht="15.75" customHeight="1">
      <c r="A74" s="14" t="s">
        <v>591</v>
      </c>
      <c r="B74" s="14">
        <v>116.67</v>
      </c>
      <c r="C74" s="14" t="s">
        <v>594</v>
      </c>
      <c r="D74" s="3"/>
      <c r="E74" s="3"/>
    </row>
    <row r="75" ht="15.75" customHeight="1">
      <c r="A75" s="14" t="s">
        <v>595</v>
      </c>
      <c r="B75" s="14">
        <v>100.0</v>
      </c>
      <c r="C75" s="14" t="s">
        <v>596</v>
      </c>
      <c r="D75" s="3"/>
      <c r="E75" s="3"/>
    </row>
    <row r="76" ht="15.75" customHeight="1">
      <c r="A76" s="14" t="s">
        <v>597</v>
      </c>
      <c r="B76" s="14">
        <v>93.27</v>
      </c>
      <c r="C76" s="14" t="s">
        <v>598</v>
      </c>
      <c r="D76" s="3"/>
      <c r="E76" s="3"/>
    </row>
    <row r="77" ht="15.75" customHeight="1">
      <c r="A77" s="14" t="s">
        <v>484</v>
      </c>
      <c r="B77" s="14">
        <v>39.97</v>
      </c>
      <c r="C77" s="14" t="s">
        <v>599</v>
      </c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21" t="s">
        <v>600</v>
      </c>
      <c r="B79" s="3"/>
      <c r="C79" s="3"/>
      <c r="D79" s="3"/>
      <c r="E79" s="3"/>
    </row>
    <row r="80" ht="15.75" customHeight="1">
      <c r="A80" s="13" t="s">
        <v>302</v>
      </c>
      <c r="B80" s="13" t="s">
        <v>24</v>
      </c>
      <c r="C80" s="13" t="s">
        <v>602</v>
      </c>
      <c r="D80" s="3"/>
      <c r="E80" s="3"/>
    </row>
    <row r="81" ht="15.75" customHeight="1">
      <c r="A81" s="14">
        <v>27.0</v>
      </c>
      <c r="B81" s="14" t="s">
        <v>562</v>
      </c>
      <c r="C81" s="14" t="s">
        <v>603</v>
      </c>
      <c r="D81" s="3"/>
      <c r="E81" s="3"/>
    </row>
    <row r="82" ht="15.75" customHeight="1">
      <c r="A82" s="14">
        <v>63.0</v>
      </c>
      <c r="B82" s="14" t="s">
        <v>604</v>
      </c>
      <c r="C82" s="14" t="s">
        <v>603</v>
      </c>
      <c r="D82" s="3"/>
      <c r="E82" s="3"/>
    </row>
    <row r="83" ht="15.75" customHeight="1">
      <c r="A83" s="14">
        <v>99.0</v>
      </c>
      <c r="B83" s="14" t="s">
        <v>547</v>
      </c>
      <c r="C83" s="14" t="s">
        <v>603</v>
      </c>
      <c r="D83" s="3"/>
      <c r="E83" s="3"/>
    </row>
    <row r="84" ht="15.75" customHeight="1">
      <c r="A84" s="14">
        <v>132.0</v>
      </c>
      <c r="B84" s="14" t="s">
        <v>574</v>
      </c>
      <c r="C84" s="14" t="s">
        <v>603</v>
      </c>
      <c r="D84" s="3"/>
      <c r="E84" s="3"/>
    </row>
    <row r="85" ht="15.75" customHeight="1">
      <c r="A85" s="14">
        <v>207.0</v>
      </c>
      <c r="B85" s="14" t="s">
        <v>595</v>
      </c>
      <c r="C85" s="14" t="s">
        <v>603</v>
      </c>
      <c r="D85" s="3"/>
      <c r="E85" s="3"/>
    </row>
    <row r="86" ht="15.75" customHeight="1">
      <c r="A86" s="14">
        <v>226.0</v>
      </c>
      <c r="B86" s="14" t="s">
        <v>606</v>
      </c>
      <c r="C86" s="14" t="s">
        <v>603</v>
      </c>
      <c r="D86" s="3"/>
      <c r="E86" s="3"/>
    </row>
    <row r="87" ht="15.75" customHeight="1">
      <c r="A87" s="14">
        <v>245.0</v>
      </c>
      <c r="B87" s="14" t="s">
        <v>333</v>
      </c>
      <c r="C87" s="14" t="s">
        <v>603</v>
      </c>
      <c r="D87" s="3"/>
      <c r="E87" s="3"/>
    </row>
    <row r="88" ht="15.75" customHeight="1">
      <c r="A88" s="14">
        <v>988.0</v>
      </c>
      <c r="B88" s="14" t="s">
        <v>608</v>
      </c>
      <c r="C88" s="14" t="s">
        <v>603</v>
      </c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21" t="s">
        <v>609</v>
      </c>
      <c r="B90" s="3"/>
      <c r="C90" s="3"/>
      <c r="D90" s="3"/>
      <c r="E90" s="3"/>
    </row>
    <row r="91" ht="15.75" customHeight="1">
      <c r="A91" s="13" t="s">
        <v>610</v>
      </c>
      <c r="B91" s="13" t="s">
        <v>611</v>
      </c>
      <c r="C91" s="3"/>
      <c r="D91" s="3"/>
      <c r="E91" s="3"/>
    </row>
    <row r="92" ht="15.75" customHeight="1">
      <c r="A92" s="14" t="s">
        <v>612</v>
      </c>
      <c r="B92" s="14" t="s">
        <v>613</v>
      </c>
      <c r="C92" s="3"/>
      <c r="D92" s="3"/>
      <c r="E92" s="3"/>
    </row>
    <row r="93" ht="15.75" customHeight="1">
      <c r="A93" s="14" t="s">
        <v>614</v>
      </c>
      <c r="B93" s="14" t="s">
        <v>615</v>
      </c>
      <c r="C93" s="3"/>
      <c r="D93" s="3"/>
      <c r="E93" s="3"/>
    </row>
    <row r="94" ht="15.75" customHeight="1">
      <c r="A94" s="14" t="s">
        <v>617</v>
      </c>
      <c r="B94" s="14" t="s">
        <v>618</v>
      </c>
      <c r="C94" s="3"/>
      <c r="D94" s="3"/>
      <c r="E94" s="3"/>
    </row>
    <row r="95" ht="15.75" customHeight="1">
      <c r="A95" s="14" t="s">
        <v>619</v>
      </c>
      <c r="B95" s="14" t="s">
        <v>620</v>
      </c>
      <c r="C95" s="3"/>
      <c r="D95" s="3"/>
      <c r="E95" s="3"/>
    </row>
    <row r="96" ht="15.75" customHeight="1">
      <c r="A96" s="14" t="s">
        <v>622</v>
      </c>
      <c r="B96" s="14" t="s">
        <v>623</v>
      </c>
      <c r="C96" s="3"/>
      <c r="D96" s="3"/>
      <c r="E96" s="3"/>
    </row>
    <row r="97" ht="15.75" customHeight="1">
      <c r="A97" s="14" t="s">
        <v>624</v>
      </c>
      <c r="B97" s="14" t="s">
        <v>625</v>
      </c>
      <c r="C97" s="3"/>
      <c r="D97" s="3"/>
      <c r="E97" s="3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